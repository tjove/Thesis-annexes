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tacat.sharepoint.com/sites/GMA_NetworkingTFM-TFMTeo/Documentos compartidos/Tesis Teo/0_Redactats/Paper_models/9-Technical Revision/"/>
    </mc:Choice>
  </mc:AlternateContent>
  <xr:revisionPtr revIDLastSave="98" documentId="8_{3A4BC4AD-05F4-42F2-A45B-874427211550}" xr6:coauthVersionLast="47" xr6:coauthVersionMax="47" xr10:uidLastSave="{FFC3ED74-FA9D-4D33-905E-B1DFBE3205EF}"/>
  <bookViews>
    <workbookView xWindow="28680" yWindow="-120" windowWidth="29040" windowHeight="15840" xr2:uid="{9593FF74-6C06-4782-9660-888AB3EBE9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9" i="1" l="1"/>
  <c r="M89" i="1"/>
  <c r="N86" i="1"/>
  <c r="M86" i="1"/>
  <c r="N85" i="1"/>
  <c r="M85" i="1"/>
  <c r="N83" i="1"/>
  <c r="M83" i="1"/>
  <c r="N80" i="1"/>
  <c r="M80" i="1"/>
  <c r="N79" i="1"/>
  <c r="M79" i="1"/>
  <c r="N77" i="1"/>
  <c r="M77" i="1"/>
  <c r="N74" i="1"/>
  <c r="M74" i="1"/>
  <c r="N73" i="1"/>
  <c r="M73" i="1"/>
  <c r="N71" i="1"/>
  <c r="M71" i="1"/>
  <c r="N68" i="1"/>
  <c r="M68" i="1"/>
  <c r="N67" i="1"/>
  <c r="M67" i="1"/>
  <c r="N65" i="1"/>
  <c r="M65" i="1"/>
  <c r="N62" i="1"/>
  <c r="M62" i="1"/>
  <c r="N61" i="1"/>
  <c r="M61" i="1"/>
  <c r="N59" i="1"/>
  <c r="M59" i="1"/>
  <c r="N56" i="1"/>
  <c r="M56" i="1"/>
  <c r="N55" i="1"/>
  <c r="M55" i="1"/>
  <c r="N53" i="1"/>
  <c r="M53" i="1"/>
  <c r="N50" i="1"/>
  <c r="M50" i="1"/>
  <c r="N49" i="1"/>
  <c r="M49" i="1"/>
  <c r="N47" i="1"/>
  <c r="M47" i="1"/>
  <c r="N44" i="1"/>
  <c r="M44" i="1"/>
  <c r="N43" i="1"/>
  <c r="M43" i="1"/>
  <c r="N41" i="1"/>
  <c r="M41" i="1"/>
  <c r="N38" i="1"/>
  <c r="M38" i="1"/>
  <c r="N37" i="1"/>
  <c r="M37" i="1"/>
  <c r="N35" i="1"/>
  <c r="M35" i="1"/>
  <c r="N32" i="1"/>
  <c r="M32" i="1"/>
  <c r="N31" i="1"/>
  <c r="M31" i="1"/>
  <c r="N29" i="1"/>
  <c r="M29" i="1"/>
  <c r="N26" i="1"/>
  <c r="M26" i="1"/>
  <c r="N25" i="1"/>
  <c r="M25" i="1"/>
  <c r="N23" i="1"/>
  <c r="M23" i="1"/>
  <c r="N20" i="1"/>
  <c r="M20" i="1"/>
  <c r="N19" i="1"/>
  <c r="M19" i="1"/>
  <c r="N17" i="1"/>
  <c r="M17" i="1"/>
  <c r="N14" i="1"/>
  <c r="M14" i="1"/>
  <c r="N13" i="1"/>
  <c r="M13" i="1"/>
  <c r="N11" i="1"/>
  <c r="M11" i="1"/>
  <c r="N8" i="1"/>
  <c r="M8" i="1"/>
  <c r="N7" i="1"/>
  <c r="M7" i="1"/>
  <c r="N5" i="1"/>
  <c r="L5" i="1"/>
  <c r="J5" i="1"/>
  <c r="H5" i="1"/>
  <c r="F5" i="1"/>
</calcChain>
</file>

<file path=xl/sharedStrings.xml><?xml version="1.0" encoding="utf-8"?>
<sst xmlns="http://schemas.openxmlformats.org/spreadsheetml/2006/main" count="417" uniqueCount="32">
  <si>
    <t>GBLUP</t>
  </si>
  <si>
    <t>SE GBLUP</t>
  </si>
  <si>
    <t>TBLUP</t>
  </si>
  <si>
    <t>GTBLUP</t>
  </si>
  <si>
    <t>GTCBLUP</t>
  </si>
  <si>
    <t>GTCBLUPi</t>
  </si>
  <si>
    <t>MBLUP</t>
  </si>
  <si>
    <t>Immunoglobulin M concentration in plasma</t>
  </si>
  <si>
    <t>loglik</t>
  </si>
  <si>
    <t>--</t>
  </si>
  <si>
    <t>Vg</t>
  </si>
  <si>
    <t>Vt</t>
  </si>
  <si>
    <t>Vm</t>
  </si>
  <si>
    <t>Ve</t>
  </si>
  <si>
    <t>h2</t>
  </si>
  <si>
    <t>Immunoglobulin G concentration in plasma</t>
  </si>
  <si>
    <t>Haptoglobin concentration in serum</t>
  </si>
  <si>
    <t>C-reactive protein concentration in serum</t>
  </si>
  <si>
    <t>Leukocyte counts</t>
  </si>
  <si>
    <t>Lymphocyte counts</t>
  </si>
  <si>
    <t>Monocyte counts</t>
  </si>
  <si>
    <t>T helper cells (% of PBMCs)</t>
  </si>
  <si>
    <t>γ𝛥 T cells (% of PBMCs)</t>
  </si>
  <si>
    <t>Cortisol concentration in plasma</t>
  </si>
  <si>
    <t>Cortisol concentration in hair</t>
  </si>
  <si>
    <t>Carcass weight</t>
  </si>
  <si>
    <t>Phagocytic cells</t>
  </si>
  <si>
    <t>Phagocytic uptake (FITC)</t>
  </si>
  <si>
    <t>Using transcriptomic data to improve the prediction of immunity traits in pigs</t>
  </si>
  <si>
    <t>Animal Journal</t>
  </si>
  <si>
    <r>
      <t>T. Jové-Juncà</t>
    </r>
    <r>
      <rPr>
        <i/>
        <sz val="12"/>
        <color theme="1"/>
        <rFont val="Arial"/>
        <family val="2"/>
      </rPr>
      <t>,</t>
    </r>
    <r>
      <rPr>
        <sz val="12"/>
        <color theme="1"/>
        <rFont val="Arial"/>
        <family val="2"/>
      </rPr>
      <t xml:space="preserve"> V.P. Haas, M.P.L. Calus, M. Ballester, R. Quintanilla</t>
    </r>
  </si>
  <si>
    <t>Table S1: Absolute variance components and heritability across porcine immunity phenotypes and studied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</si>
</sst>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0" xfId="0" applyFill="1"/>
    <xf numFmtId="164" fontId="0" fillId="0" borderId="7" xfId="0" applyNumberFormat="1" applyBorder="1" applyAlignment="1">
      <alignment horizontal="center"/>
    </xf>
    <xf numFmtId="164" fontId="0" fillId="0" borderId="4" xfId="0" quotePrefix="1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quotePrefix="1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quotePrefix="1" applyNumberFormat="1" applyBorder="1" applyAlignment="1">
      <alignment horizontal="center"/>
    </xf>
    <xf numFmtId="164" fontId="0" fillId="0" borderId="8" xfId="0" quotePrefix="1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6" xfId="0" quotePrefix="1" applyNumberFormat="1" applyBorder="1" applyAlignment="1">
      <alignment horizontal="center"/>
    </xf>
    <xf numFmtId="0" fontId="0" fillId="4" borderId="12" xfId="0" applyFill="1" applyBorder="1"/>
    <xf numFmtId="164" fontId="0" fillId="0" borderId="11" xfId="0" applyNumberFormat="1" applyBorder="1" applyAlignment="1">
      <alignment horizontal="center"/>
    </xf>
    <xf numFmtId="164" fontId="0" fillId="0" borderId="13" xfId="0" quotePrefix="1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quotePrefix="1" applyNumberFormat="1" applyBorder="1" applyAlignment="1">
      <alignment horizontal="center"/>
    </xf>
    <xf numFmtId="0" fontId="0" fillId="4" borderId="17" xfId="0" applyFill="1" applyBorder="1"/>
    <xf numFmtId="164" fontId="0" fillId="0" borderId="16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9" xfId="0" quotePrefix="1" applyNumberFormat="1" applyBorder="1" applyAlignment="1">
      <alignment horizontal="center"/>
    </xf>
    <xf numFmtId="164" fontId="0" fillId="0" borderId="18" xfId="0" quotePrefix="1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4" borderId="22" xfId="0" applyFill="1" applyBorder="1"/>
    <xf numFmtId="164" fontId="0" fillId="0" borderId="21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4" xfId="0" quotePrefix="1" applyNumberFormat="1" applyBorder="1" applyAlignment="1">
      <alignment horizontal="center"/>
    </xf>
    <xf numFmtId="164" fontId="0" fillId="0" borderId="23" xfId="0" quotePrefix="1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3" borderId="1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CB2A-9487-4DE8-9CFD-0AD29D78B26D}">
  <dimension ref="A1:N89"/>
  <sheetViews>
    <sheetView tabSelected="1" workbookViewId="0">
      <selection activeCell="F6" sqref="F6"/>
    </sheetView>
  </sheetViews>
  <sheetFormatPr baseColWidth="10" defaultRowHeight="14.5" x14ac:dyDescent="0.35"/>
  <cols>
    <col min="1" max="1" width="43.54296875" customWidth="1"/>
    <col min="3" max="10" width="10.90625" customWidth="1"/>
    <col min="11" max="11" width="15.90625" customWidth="1"/>
    <col min="12" max="12" width="18.54296875" bestFit="1" customWidth="1"/>
  </cols>
  <sheetData>
    <row r="1" spans="1:14" ht="15.5" x14ac:dyDescent="0.35">
      <c r="A1" s="37" t="s">
        <v>28</v>
      </c>
    </row>
    <row r="2" spans="1:14" ht="15.5" x14ac:dyDescent="0.35">
      <c r="A2" s="38" t="s">
        <v>30</v>
      </c>
    </row>
    <row r="3" spans="1:14" x14ac:dyDescent="0.35">
      <c r="A3" t="s">
        <v>29</v>
      </c>
    </row>
    <row r="4" spans="1:14" ht="15" thickBot="1" x14ac:dyDescent="0.4">
      <c r="A4" t="s">
        <v>31</v>
      </c>
    </row>
    <row r="5" spans="1:14" ht="15" thickBot="1" x14ac:dyDescent="0.4">
      <c r="A5" s="1"/>
      <c r="B5" s="2"/>
      <c r="C5" s="3" t="s">
        <v>0</v>
      </c>
      <c r="D5" s="4" t="s">
        <v>1</v>
      </c>
      <c r="E5" s="3" t="s">
        <v>2</v>
      </c>
      <c r="F5" s="4" t="str">
        <f>"SE "&amp;E5</f>
        <v>SE TBLUP</v>
      </c>
      <c r="G5" s="3" t="s">
        <v>3</v>
      </c>
      <c r="H5" s="4" t="str">
        <f>"SE "&amp;G5</f>
        <v>SE GTBLUP</v>
      </c>
      <c r="I5" s="3" t="s">
        <v>4</v>
      </c>
      <c r="J5" s="4" t="str">
        <f>"SE "&amp;I5</f>
        <v>SE GTCBLUP</v>
      </c>
      <c r="K5" s="3" t="s">
        <v>5</v>
      </c>
      <c r="L5" s="4" t="str">
        <f>"SE "&amp;K5</f>
        <v>SE GTCBLUPi</v>
      </c>
      <c r="M5" s="3" t="s">
        <v>6</v>
      </c>
      <c r="N5" s="5" t="str">
        <f>"SE "&amp;M5</f>
        <v>SE MBLUP</v>
      </c>
    </row>
    <row r="6" spans="1:14" x14ac:dyDescent="0.35">
      <c r="A6" s="40" t="s">
        <v>7</v>
      </c>
      <c r="B6" s="6" t="s">
        <v>8</v>
      </c>
      <c r="C6" s="7">
        <v>-83.752340000000004</v>
      </c>
      <c r="D6" s="8" t="s">
        <v>9</v>
      </c>
      <c r="E6" s="9">
        <v>-84.799549999999996</v>
      </c>
      <c r="F6" s="8" t="s">
        <v>9</v>
      </c>
      <c r="G6" s="9">
        <v>-80.749260000000007</v>
      </c>
      <c r="H6" s="8" t="s">
        <v>9</v>
      </c>
      <c r="I6" s="9">
        <v>-80.939260000000004</v>
      </c>
      <c r="J6" s="8" t="s">
        <v>9</v>
      </c>
      <c r="K6" s="9">
        <v>-79.826030000000003</v>
      </c>
      <c r="L6" s="8" t="s">
        <v>9</v>
      </c>
      <c r="M6" s="9">
        <v>-80.749200000000002</v>
      </c>
      <c r="N6" s="10" t="s">
        <v>9</v>
      </c>
    </row>
    <row r="7" spans="1:14" x14ac:dyDescent="0.35">
      <c r="A7" s="40"/>
      <c r="B7" s="6" t="s">
        <v>10</v>
      </c>
      <c r="C7" s="11">
        <v>0.24401919999999999</v>
      </c>
      <c r="D7" s="12">
        <v>8.8328939999999995E-2</v>
      </c>
      <c r="E7" s="13" t="s">
        <v>9</v>
      </c>
      <c r="F7" s="14" t="s">
        <v>9</v>
      </c>
      <c r="G7" s="15">
        <v>0.1761093</v>
      </c>
      <c r="H7" s="12">
        <v>8.3908860000000002E-2</v>
      </c>
      <c r="I7" s="15">
        <v>0.24062819999999999</v>
      </c>
      <c r="J7" s="12">
        <v>8.2329289999999999E-2</v>
      </c>
      <c r="K7" s="15">
        <v>0.30176999999999998</v>
      </c>
      <c r="L7" s="12">
        <v>8.4890129999999994E-2</v>
      </c>
      <c r="M7" s="15" t="str">
        <f>"--"</f>
        <v>--</v>
      </c>
      <c r="N7" s="16" t="str">
        <f>"--"</f>
        <v>--</v>
      </c>
    </row>
    <row r="8" spans="1:14" x14ac:dyDescent="0.35">
      <c r="A8" s="40"/>
      <c r="B8" s="6" t="s">
        <v>11</v>
      </c>
      <c r="C8" s="17" t="s">
        <v>9</v>
      </c>
      <c r="D8" s="14" t="s">
        <v>9</v>
      </c>
      <c r="E8" s="15">
        <v>0.58892789999999995</v>
      </c>
      <c r="F8" s="12">
        <v>0.1942847</v>
      </c>
      <c r="G8" s="15">
        <v>0.31325789999999998</v>
      </c>
      <c r="H8" s="12">
        <v>0.14996398</v>
      </c>
      <c r="I8" s="15">
        <v>0.44458799999999998</v>
      </c>
      <c r="J8" s="12">
        <v>0.21057498999999999</v>
      </c>
      <c r="K8" s="15">
        <v>0.96244390000000002</v>
      </c>
      <c r="L8" s="12">
        <v>0.36505252999999999</v>
      </c>
      <c r="M8" s="15" t="str">
        <f>"--"</f>
        <v>--</v>
      </c>
      <c r="N8" s="16" t="str">
        <f>"--"</f>
        <v>--</v>
      </c>
    </row>
    <row r="9" spans="1:14" x14ac:dyDescent="0.35">
      <c r="A9" s="40"/>
      <c r="B9" s="6" t="s">
        <v>12</v>
      </c>
      <c r="C9" s="17" t="s">
        <v>9</v>
      </c>
      <c r="D9" s="14" t="s">
        <v>9</v>
      </c>
      <c r="E9" s="13" t="s">
        <v>9</v>
      </c>
      <c r="F9" s="14" t="s">
        <v>9</v>
      </c>
      <c r="G9" s="13" t="s">
        <v>9</v>
      </c>
      <c r="H9" s="14" t="s">
        <v>9</v>
      </c>
      <c r="I9" s="13" t="s">
        <v>9</v>
      </c>
      <c r="J9" s="14" t="s">
        <v>9</v>
      </c>
      <c r="K9" s="13" t="s">
        <v>9</v>
      </c>
      <c r="L9" s="14" t="s">
        <v>9</v>
      </c>
      <c r="M9" s="15">
        <v>0.48895729999999998</v>
      </c>
      <c r="N9" s="16">
        <v>0.14588053000000001</v>
      </c>
    </row>
    <row r="10" spans="1:14" x14ac:dyDescent="0.35">
      <c r="A10" s="40"/>
      <c r="B10" s="6" t="s">
        <v>13</v>
      </c>
      <c r="C10" s="11">
        <v>0.45145689999999999</v>
      </c>
      <c r="D10" s="12">
        <v>7.4707999999999997E-2</v>
      </c>
      <c r="E10" s="15">
        <v>0.30278650000000001</v>
      </c>
      <c r="F10" s="12">
        <v>9.7869339999999999E-2</v>
      </c>
      <c r="G10" s="15">
        <v>0.28801189999999999</v>
      </c>
      <c r="H10" s="12">
        <v>8.9165480000000005E-2</v>
      </c>
      <c r="I10" s="15">
        <v>0.23297590000000001</v>
      </c>
      <c r="J10" s="12">
        <v>0.1029264</v>
      </c>
      <c r="K10" s="15">
        <v>0.1257569</v>
      </c>
      <c r="L10" s="12">
        <v>0.12444908</v>
      </c>
      <c r="M10" s="15">
        <v>0.28701880000000002</v>
      </c>
      <c r="N10" s="16">
        <v>8.7887279999999998E-2</v>
      </c>
    </row>
    <row r="11" spans="1:14" x14ac:dyDescent="0.35">
      <c r="A11" s="40"/>
      <c r="B11" s="6" t="s">
        <v>14</v>
      </c>
      <c r="C11" s="11">
        <v>0.35086640000000002</v>
      </c>
      <c r="D11" s="12">
        <v>0.11152330000000001</v>
      </c>
      <c r="E11" s="13" t="s">
        <v>9</v>
      </c>
      <c r="F11" s="14" t="s">
        <v>9</v>
      </c>
      <c r="G11" s="15">
        <v>0.2265424</v>
      </c>
      <c r="H11" s="12">
        <v>0.1067713</v>
      </c>
      <c r="I11" s="15">
        <v>0.26206740000000001</v>
      </c>
      <c r="J11" s="12">
        <v>8.7767529999999996E-2</v>
      </c>
      <c r="K11" s="15">
        <v>0.2171053</v>
      </c>
      <c r="L11" s="12">
        <v>6.3643160000000004E-2</v>
      </c>
      <c r="M11" s="15" t="str">
        <f>"--"</f>
        <v>--</v>
      </c>
      <c r="N11" s="16" t="str">
        <f>"--"</f>
        <v>--</v>
      </c>
    </row>
    <row r="12" spans="1:14" x14ac:dyDescent="0.35">
      <c r="A12" s="39" t="s">
        <v>15</v>
      </c>
      <c r="B12" s="18" t="s">
        <v>8</v>
      </c>
      <c r="C12" s="19">
        <v>-88.338220000000007</v>
      </c>
      <c r="D12" s="20" t="s">
        <v>9</v>
      </c>
      <c r="E12" s="21">
        <v>-93.298659999999998</v>
      </c>
      <c r="F12" s="20" t="s">
        <v>9</v>
      </c>
      <c r="G12" s="21">
        <v>-86.103639999999999</v>
      </c>
      <c r="H12" s="20" t="s">
        <v>9</v>
      </c>
      <c r="I12" s="21">
        <v>-86.494050000000001</v>
      </c>
      <c r="J12" s="20" t="s">
        <v>9</v>
      </c>
      <c r="K12" s="21">
        <v>-86.161069999999995</v>
      </c>
      <c r="L12" s="20" t="s">
        <v>9</v>
      </c>
      <c r="M12" s="21">
        <v>-86.103530000000006</v>
      </c>
      <c r="N12" s="22" t="s">
        <v>9</v>
      </c>
    </row>
    <row r="13" spans="1:14" x14ac:dyDescent="0.35">
      <c r="A13" s="40"/>
      <c r="B13" s="6" t="s">
        <v>10</v>
      </c>
      <c r="C13" s="11">
        <v>0.38349490000000003</v>
      </c>
      <c r="D13" s="12">
        <v>0.1220948</v>
      </c>
      <c r="E13" s="13" t="s">
        <v>9</v>
      </c>
      <c r="F13" s="14" t="s">
        <v>9</v>
      </c>
      <c r="G13" s="15">
        <v>0.35070032000000001</v>
      </c>
      <c r="H13" s="12">
        <v>0.11833563</v>
      </c>
      <c r="I13" s="15">
        <v>0.38500459999999997</v>
      </c>
      <c r="J13" s="12">
        <v>0.11941622</v>
      </c>
      <c r="K13" s="15">
        <v>0.35874146000000001</v>
      </c>
      <c r="L13" s="12">
        <v>0.11773483</v>
      </c>
      <c r="M13" s="15" t="str">
        <f>"--"</f>
        <v>--</v>
      </c>
      <c r="N13" s="16" t="str">
        <f>"--"</f>
        <v>--</v>
      </c>
    </row>
    <row r="14" spans="1:14" x14ac:dyDescent="0.35">
      <c r="A14" s="40"/>
      <c r="B14" s="6" t="s">
        <v>11</v>
      </c>
      <c r="C14" s="17" t="s">
        <v>9</v>
      </c>
      <c r="D14" s="14" t="s">
        <v>9</v>
      </c>
      <c r="E14" s="15">
        <v>0.80452429999999997</v>
      </c>
      <c r="F14" s="12">
        <v>0.2597372</v>
      </c>
      <c r="G14" s="15">
        <v>9.3965960000000001E-2</v>
      </c>
      <c r="H14" s="12">
        <v>7.9723749999999996E-2</v>
      </c>
      <c r="I14" s="15">
        <v>0.1234687</v>
      </c>
      <c r="J14" s="12">
        <v>0.11435926</v>
      </c>
      <c r="K14" s="15">
        <v>9.6714220000000004E-2</v>
      </c>
      <c r="L14" s="12">
        <v>8.3189280000000004E-2</v>
      </c>
      <c r="M14" s="15" t="str">
        <f>"--"</f>
        <v>--</v>
      </c>
      <c r="N14" s="16" t="str">
        <f>"--"</f>
        <v>--</v>
      </c>
    </row>
    <row r="15" spans="1:14" x14ac:dyDescent="0.35">
      <c r="A15" s="40"/>
      <c r="B15" s="6" t="s">
        <v>12</v>
      </c>
      <c r="C15" s="17" t="s">
        <v>9</v>
      </c>
      <c r="D15" s="14" t="s">
        <v>9</v>
      </c>
      <c r="E15" s="13" t="s">
        <v>9</v>
      </c>
      <c r="F15" s="14" t="s">
        <v>9</v>
      </c>
      <c r="G15" s="13" t="s">
        <v>9</v>
      </c>
      <c r="H15" s="14" t="s">
        <v>9</v>
      </c>
      <c r="I15" s="13" t="s">
        <v>9</v>
      </c>
      <c r="J15" s="14" t="s">
        <v>9</v>
      </c>
      <c r="K15" s="13" t="s">
        <v>9</v>
      </c>
      <c r="L15" s="14" t="s">
        <v>9</v>
      </c>
      <c r="M15" s="15">
        <v>0.44485619999999998</v>
      </c>
      <c r="N15" s="16">
        <v>0.13238433999999999</v>
      </c>
    </row>
    <row r="16" spans="1:14" x14ac:dyDescent="0.35">
      <c r="A16" s="40"/>
      <c r="B16" s="6" t="s">
        <v>13</v>
      </c>
      <c r="C16" s="11">
        <v>0.37600499999999998</v>
      </c>
      <c r="D16" s="12">
        <v>8.6030800000000004E-2</v>
      </c>
      <c r="E16" s="15">
        <v>0.23983360000000001</v>
      </c>
      <c r="F16" s="12">
        <v>0.1223273</v>
      </c>
      <c r="G16" s="15">
        <v>0.31739221000000001</v>
      </c>
      <c r="H16" s="12">
        <v>8.9737189999999994E-2</v>
      </c>
      <c r="I16" s="15">
        <v>0.31007420000000002</v>
      </c>
      <c r="J16" s="12">
        <v>9.5078369999999995E-2</v>
      </c>
      <c r="K16" s="15">
        <v>0.31452911</v>
      </c>
      <c r="L16" s="12">
        <v>9.0703580000000006E-2</v>
      </c>
      <c r="M16" s="15">
        <v>0.31664910000000002</v>
      </c>
      <c r="N16" s="16">
        <v>8.918189E-2</v>
      </c>
    </row>
    <row r="17" spans="1:14" x14ac:dyDescent="0.35">
      <c r="A17" s="41"/>
      <c r="B17" s="23" t="s">
        <v>14</v>
      </c>
      <c r="C17" s="24">
        <v>0.50493080000000001</v>
      </c>
      <c r="D17" s="25">
        <v>0.12895960000000001</v>
      </c>
      <c r="E17" s="26" t="s">
        <v>9</v>
      </c>
      <c r="F17" s="27" t="s">
        <v>9</v>
      </c>
      <c r="G17" s="28">
        <v>0.46020129999999998</v>
      </c>
      <c r="H17" s="25">
        <v>0.13143879999999999</v>
      </c>
      <c r="I17" s="28">
        <v>0.47035090000000002</v>
      </c>
      <c r="J17" s="25">
        <v>0.1236034</v>
      </c>
      <c r="K17" s="28">
        <v>0.46590720000000002</v>
      </c>
      <c r="L17" s="25">
        <v>0.12893669999999999</v>
      </c>
      <c r="M17" s="28" t="str">
        <f>"--"</f>
        <v>--</v>
      </c>
      <c r="N17" s="29" t="str">
        <f>"--"</f>
        <v>--</v>
      </c>
    </row>
    <row r="18" spans="1:14" x14ac:dyDescent="0.35">
      <c r="A18" s="39" t="s">
        <v>16</v>
      </c>
      <c r="B18" s="18" t="s">
        <v>8</v>
      </c>
      <c r="C18" s="19">
        <v>-105.7555</v>
      </c>
      <c r="D18" s="20" t="s">
        <v>9</v>
      </c>
      <c r="E18" s="21">
        <v>-78.547499999999999</v>
      </c>
      <c r="F18" s="20" t="s">
        <v>9</v>
      </c>
      <c r="G18" s="21">
        <v>-77.784940000000006</v>
      </c>
      <c r="H18" s="20" t="s">
        <v>9</v>
      </c>
      <c r="I18" s="21">
        <v>-77.373750000000001</v>
      </c>
      <c r="J18" s="20" t="s">
        <v>9</v>
      </c>
      <c r="K18" s="21">
        <v>-85.669979999999995</v>
      </c>
      <c r="L18" s="20" t="s">
        <v>9</v>
      </c>
      <c r="M18" s="21">
        <v>-77.784930000000003</v>
      </c>
      <c r="N18" s="22" t="s">
        <v>9</v>
      </c>
    </row>
    <row r="19" spans="1:14" x14ac:dyDescent="0.35">
      <c r="A19" s="40"/>
      <c r="B19" s="6" t="s">
        <v>10</v>
      </c>
      <c r="C19" s="11">
        <v>0.1709706</v>
      </c>
      <c r="D19" s="12">
        <v>0.10003362</v>
      </c>
      <c r="E19" s="13" t="s">
        <v>9</v>
      </c>
      <c r="F19" s="14" t="s">
        <v>9</v>
      </c>
      <c r="G19" s="15">
        <v>8.385397E-2</v>
      </c>
      <c r="H19" s="12">
        <v>8.0922060000000004E-2</v>
      </c>
      <c r="I19" s="15">
        <v>0.16081098999999999</v>
      </c>
      <c r="J19" s="12">
        <v>7.3578450000000004E-2</v>
      </c>
      <c r="K19" s="15">
        <v>0.32525549999999998</v>
      </c>
      <c r="L19" s="12">
        <v>0.1134677</v>
      </c>
      <c r="M19" s="15" t="str">
        <f>"--"</f>
        <v>--</v>
      </c>
      <c r="N19" s="16" t="str">
        <f>"--"</f>
        <v>--</v>
      </c>
    </row>
    <row r="20" spans="1:14" x14ac:dyDescent="0.35">
      <c r="A20" s="40"/>
      <c r="B20" s="6" t="s">
        <v>11</v>
      </c>
      <c r="C20" s="17" t="s">
        <v>9</v>
      </c>
      <c r="D20" s="14" t="s">
        <v>9</v>
      </c>
      <c r="E20" s="15">
        <v>0.85636860000000004</v>
      </c>
      <c r="F20" s="12">
        <v>0.22343109</v>
      </c>
      <c r="G20" s="15">
        <v>0.75591852000000004</v>
      </c>
      <c r="H20" s="12">
        <v>0.22400092999999999</v>
      </c>
      <c r="I20" s="15">
        <v>0.95159985000000002</v>
      </c>
      <c r="J20" s="12">
        <v>0.25218201000000001</v>
      </c>
      <c r="K20" s="15">
        <v>5.6628958000000003</v>
      </c>
      <c r="L20" s="12">
        <v>2.1498187</v>
      </c>
      <c r="M20" s="15" t="str">
        <f>"--"</f>
        <v>--</v>
      </c>
      <c r="N20" s="16" t="str">
        <f>"--"</f>
        <v>--</v>
      </c>
    </row>
    <row r="21" spans="1:14" x14ac:dyDescent="0.35">
      <c r="A21" s="40"/>
      <c r="B21" s="6" t="s">
        <v>12</v>
      </c>
      <c r="C21" s="17" t="s">
        <v>9</v>
      </c>
      <c r="D21" s="14" t="s">
        <v>9</v>
      </c>
      <c r="E21" s="13" t="s">
        <v>9</v>
      </c>
      <c r="F21" s="14" t="s">
        <v>9</v>
      </c>
      <c r="G21" s="13" t="s">
        <v>9</v>
      </c>
      <c r="H21" s="14" t="s">
        <v>9</v>
      </c>
      <c r="I21" s="13" t="s">
        <v>9</v>
      </c>
      <c r="J21" s="14" t="s">
        <v>9</v>
      </c>
      <c r="K21" s="13" t="s">
        <v>9</v>
      </c>
      <c r="L21" s="14" t="s">
        <v>9</v>
      </c>
      <c r="M21" s="15">
        <v>0.83760570000000001</v>
      </c>
      <c r="N21" s="16">
        <v>0.21084829999999999</v>
      </c>
    </row>
    <row r="22" spans="1:14" x14ac:dyDescent="0.35">
      <c r="A22" s="40"/>
      <c r="B22" s="6" t="s">
        <v>13</v>
      </c>
      <c r="C22" s="11">
        <v>0.62873880000000004</v>
      </c>
      <c r="D22" s="12">
        <v>9.6303940000000005E-2</v>
      </c>
      <c r="E22" s="15">
        <v>0.1451771</v>
      </c>
      <c r="F22" s="12">
        <v>9.8340620000000004E-2</v>
      </c>
      <c r="G22" s="15">
        <v>0.12514142</v>
      </c>
      <c r="H22" s="12">
        <v>9.8015420000000006E-2</v>
      </c>
      <c r="I22" s="15">
        <v>5.8147459999999998E-2</v>
      </c>
      <c r="J22" s="12">
        <v>0.11043741</v>
      </c>
      <c r="K22" s="15">
        <v>0.1383054</v>
      </c>
      <c r="L22" s="12">
        <v>0.13805539999999999</v>
      </c>
      <c r="M22" s="15">
        <v>0.124796</v>
      </c>
      <c r="N22" s="16">
        <v>9.8020789999999997E-2</v>
      </c>
    </row>
    <row r="23" spans="1:14" x14ac:dyDescent="0.35">
      <c r="A23" s="41"/>
      <c r="B23" s="23" t="s">
        <v>14</v>
      </c>
      <c r="C23" s="24">
        <v>0.21379090000000001</v>
      </c>
      <c r="D23" s="25">
        <v>0.118036</v>
      </c>
      <c r="E23" s="26" t="s">
        <v>9</v>
      </c>
      <c r="F23" s="27" t="s">
        <v>9</v>
      </c>
      <c r="G23" s="28">
        <v>0.36815399999999998</v>
      </c>
      <c r="H23" s="25">
        <v>0.14164640000000001</v>
      </c>
      <c r="I23" s="28">
        <v>0.13737969999999999</v>
      </c>
      <c r="J23" s="25">
        <v>6.6932500000000006E-2</v>
      </c>
      <c r="K23" s="28">
        <v>5.3090320000000003E-2</v>
      </c>
      <c r="L23" s="25">
        <v>2.173661E-2</v>
      </c>
      <c r="M23" s="28" t="str">
        <f>"--"</f>
        <v>--</v>
      </c>
      <c r="N23" s="29" t="str">
        <f>"--"</f>
        <v>--</v>
      </c>
    </row>
    <row r="24" spans="1:14" x14ac:dyDescent="0.35">
      <c r="A24" s="39" t="s">
        <v>17</v>
      </c>
      <c r="B24" s="18" t="s">
        <v>8</v>
      </c>
      <c r="C24" s="19">
        <v>-107.2064</v>
      </c>
      <c r="D24" s="20" t="s">
        <v>9</v>
      </c>
      <c r="E24" s="21">
        <v>-97.317760000000007</v>
      </c>
      <c r="F24" s="20" t="s">
        <v>9</v>
      </c>
      <c r="G24" s="21">
        <v>-95.077219999999997</v>
      </c>
      <c r="H24" s="20" t="s">
        <v>9</v>
      </c>
      <c r="I24" s="21">
        <v>-94.605760000000004</v>
      </c>
      <c r="J24" s="20" t="s">
        <v>9</v>
      </c>
      <c r="K24" s="21">
        <v>-94.377759999999995</v>
      </c>
      <c r="L24" s="20" t="s">
        <v>9</v>
      </c>
      <c r="M24" s="21">
        <v>-95.077219999999997</v>
      </c>
      <c r="N24" s="22" t="s">
        <v>9</v>
      </c>
    </row>
    <row r="25" spans="1:14" x14ac:dyDescent="0.35">
      <c r="A25" s="40"/>
      <c r="B25" s="6" t="s">
        <v>10</v>
      </c>
      <c r="C25" s="11">
        <v>0.1801228</v>
      </c>
      <c r="D25" s="12">
        <v>0.1080711</v>
      </c>
      <c r="E25" s="13" t="s">
        <v>9</v>
      </c>
      <c r="F25" s="14" t="s">
        <v>9</v>
      </c>
      <c r="G25" s="15">
        <v>0.17295279999999999</v>
      </c>
      <c r="H25" s="12">
        <v>0.10367750000000001</v>
      </c>
      <c r="I25" s="15">
        <v>0.19123470000000001</v>
      </c>
      <c r="J25" s="12">
        <v>9.8990610000000007E-2</v>
      </c>
      <c r="K25" s="15">
        <v>0.22259300000000001</v>
      </c>
      <c r="L25" s="12">
        <v>9.8874680000000006E-2</v>
      </c>
      <c r="M25" s="15" t="str">
        <f>"--"</f>
        <v>--</v>
      </c>
      <c r="N25" s="16" t="str">
        <f>"--"</f>
        <v>--</v>
      </c>
    </row>
    <row r="26" spans="1:14" x14ac:dyDescent="0.35">
      <c r="A26" s="40"/>
      <c r="B26" s="6" t="s">
        <v>11</v>
      </c>
      <c r="C26" s="17" t="s">
        <v>9</v>
      </c>
      <c r="D26" s="14" t="s">
        <v>9</v>
      </c>
      <c r="E26" s="15">
        <v>0.55169230000000002</v>
      </c>
      <c r="F26" s="12">
        <v>0.21347060000000001</v>
      </c>
      <c r="G26" s="15">
        <v>0.38453559999999998</v>
      </c>
      <c r="H26" s="12">
        <v>0.1781924</v>
      </c>
      <c r="I26" s="15">
        <v>0.45012439999999998</v>
      </c>
      <c r="J26" s="12">
        <v>0.20503975999999999</v>
      </c>
      <c r="K26" s="15">
        <v>0.55430690000000005</v>
      </c>
      <c r="L26" s="12">
        <v>0.25463483999999997</v>
      </c>
      <c r="M26" s="15" t="str">
        <f>"--"</f>
        <v>--</v>
      </c>
      <c r="N26" s="16" t="str">
        <f>"--"</f>
        <v>--</v>
      </c>
    </row>
    <row r="27" spans="1:14" x14ac:dyDescent="0.35">
      <c r="A27" s="40"/>
      <c r="B27" s="6" t="s">
        <v>12</v>
      </c>
      <c r="C27" s="17" t="s">
        <v>9</v>
      </c>
      <c r="D27" s="14" t="s">
        <v>9</v>
      </c>
      <c r="E27" s="13" t="s">
        <v>9</v>
      </c>
      <c r="F27" s="14" t="s">
        <v>9</v>
      </c>
      <c r="G27" s="13" t="s">
        <v>9</v>
      </c>
      <c r="H27" s="14" t="s">
        <v>9</v>
      </c>
      <c r="I27" s="13" t="s">
        <v>9</v>
      </c>
      <c r="J27" s="14" t="s">
        <v>9</v>
      </c>
      <c r="K27" s="13" t="s">
        <v>9</v>
      </c>
      <c r="L27" s="14" t="s">
        <v>9</v>
      </c>
      <c r="M27" s="15">
        <v>0.55808380000000002</v>
      </c>
      <c r="N27" s="16">
        <v>0.18126610000000001</v>
      </c>
    </row>
    <row r="28" spans="1:14" x14ac:dyDescent="0.35">
      <c r="A28" s="40"/>
      <c r="B28" s="6" t="s">
        <v>13</v>
      </c>
      <c r="C28" s="11">
        <v>0.63359719999999997</v>
      </c>
      <c r="D28" s="12">
        <v>0.1015915</v>
      </c>
      <c r="E28" s="15">
        <v>0.38664029999999999</v>
      </c>
      <c r="F28" s="12">
        <v>0.11290119999999999</v>
      </c>
      <c r="G28" s="15">
        <v>0.32556030000000002</v>
      </c>
      <c r="H28" s="12">
        <v>0.1081915</v>
      </c>
      <c r="I28" s="15">
        <v>0.30083460000000001</v>
      </c>
      <c r="J28" s="12">
        <v>0.11398295</v>
      </c>
      <c r="K28" s="15">
        <v>0.27250799999999997</v>
      </c>
      <c r="L28" s="12">
        <v>0.12317693</v>
      </c>
      <c r="M28" s="15">
        <v>0.32570159999999998</v>
      </c>
      <c r="N28" s="16">
        <v>0.1081766</v>
      </c>
    </row>
    <row r="29" spans="1:14" x14ac:dyDescent="0.35">
      <c r="A29" s="41"/>
      <c r="B29" s="23" t="s">
        <v>14</v>
      </c>
      <c r="C29" s="24">
        <v>0.2213572</v>
      </c>
      <c r="D29" s="25">
        <v>0.12511649999999999</v>
      </c>
      <c r="E29" s="26" t="s">
        <v>9</v>
      </c>
      <c r="F29" s="27" t="s">
        <v>9</v>
      </c>
      <c r="G29" s="28">
        <v>0.1958587</v>
      </c>
      <c r="H29" s="25">
        <v>0.1161634</v>
      </c>
      <c r="I29" s="28">
        <v>0.2029675</v>
      </c>
      <c r="J29" s="25">
        <v>0.104301</v>
      </c>
      <c r="K29" s="28">
        <v>0.21211289999999999</v>
      </c>
      <c r="L29" s="25">
        <v>9.3168589999999996E-2</v>
      </c>
      <c r="M29" s="28" t="str">
        <f>"--"</f>
        <v>--</v>
      </c>
      <c r="N29" s="29" t="str">
        <f>"--"</f>
        <v>--</v>
      </c>
    </row>
    <row r="30" spans="1:14" x14ac:dyDescent="0.35">
      <c r="A30" s="39" t="s">
        <v>26</v>
      </c>
      <c r="B30" s="18" t="s">
        <v>8</v>
      </c>
      <c r="C30" s="19">
        <v>-120.6614</v>
      </c>
      <c r="D30" s="20" t="s">
        <v>9</v>
      </c>
      <c r="E30" s="21">
        <v>-73.689250000000001</v>
      </c>
      <c r="F30" s="20" t="s">
        <v>9</v>
      </c>
      <c r="G30" s="21">
        <v>-73.093299999999999</v>
      </c>
      <c r="H30" s="20" t="s">
        <v>9</v>
      </c>
      <c r="I30" s="21">
        <v>-72.534869999999998</v>
      </c>
      <c r="J30" s="20" t="s">
        <v>9</v>
      </c>
      <c r="K30" s="21">
        <v>-72.503489999999999</v>
      </c>
      <c r="L30" s="20" t="s">
        <v>9</v>
      </c>
      <c r="M30" s="21">
        <v>-73.093100000000007</v>
      </c>
      <c r="N30" s="22" t="s">
        <v>9</v>
      </c>
    </row>
    <row r="31" spans="1:14" x14ac:dyDescent="0.35">
      <c r="A31" s="40"/>
      <c r="B31" s="6" t="s">
        <v>10</v>
      </c>
      <c r="C31" s="11">
        <v>7.3567569999999999E-2</v>
      </c>
      <c r="D31" s="12">
        <v>9.852458E-2</v>
      </c>
      <c r="E31" s="13" t="s">
        <v>9</v>
      </c>
      <c r="F31" s="14" t="s">
        <v>9</v>
      </c>
      <c r="G31" s="15">
        <v>7.3891540000000006E-2</v>
      </c>
      <c r="H31" s="12">
        <v>7.5641970000000003E-2</v>
      </c>
      <c r="I31" s="15">
        <v>0.1123392</v>
      </c>
      <c r="J31" s="12">
        <v>7.3600299999999994E-2</v>
      </c>
      <c r="K31" s="15">
        <v>0.1248601</v>
      </c>
      <c r="L31" s="12">
        <v>7.3876849999999994E-2</v>
      </c>
      <c r="M31" s="15" t="str">
        <f>"--"</f>
        <v>--</v>
      </c>
      <c r="N31" s="16" t="str">
        <f>"--"</f>
        <v>--</v>
      </c>
    </row>
    <row r="32" spans="1:14" x14ac:dyDescent="0.35">
      <c r="A32" s="40"/>
      <c r="B32" s="6" t="s">
        <v>11</v>
      </c>
      <c r="C32" s="17" t="s">
        <v>9</v>
      </c>
      <c r="D32" s="14" t="s">
        <v>9</v>
      </c>
      <c r="E32" s="15">
        <v>0.49303370000000002</v>
      </c>
      <c r="F32" s="12">
        <v>0.15112171999999999</v>
      </c>
      <c r="G32" s="15">
        <v>0.49598887000000003</v>
      </c>
      <c r="H32" s="12">
        <v>0.15180990999999999</v>
      </c>
      <c r="I32" s="15">
        <v>0.59038729999999995</v>
      </c>
      <c r="J32" s="12">
        <v>0.18188853999999999</v>
      </c>
      <c r="K32" s="15">
        <v>0.62618499999999999</v>
      </c>
      <c r="L32" s="12">
        <v>0.19354198</v>
      </c>
      <c r="M32" s="15" t="str">
        <f>"--"</f>
        <v>--</v>
      </c>
      <c r="N32" s="16" t="str">
        <f>"--"</f>
        <v>--</v>
      </c>
    </row>
    <row r="33" spans="1:14" x14ac:dyDescent="0.35">
      <c r="A33" s="40"/>
      <c r="B33" s="6" t="s">
        <v>12</v>
      </c>
      <c r="C33" s="17" t="s">
        <v>9</v>
      </c>
      <c r="D33" s="14" t="s">
        <v>9</v>
      </c>
      <c r="E33" s="13" t="s">
        <v>9</v>
      </c>
      <c r="F33" s="14" t="s">
        <v>9</v>
      </c>
      <c r="G33" s="13" t="s">
        <v>9</v>
      </c>
      <c r="H33" s="14" t="s">
        <v>9</v>
      </c>
      <c r="I33" s="13" t="s">
        <v>9</v>
      </c>
      <c r="J33" s="14" t="s">
        <v>9</v>
      </c>
      <c r="K33" s="13" t="s">
        <v>9</v>
      </c>
      <c r="L33" s="14" t="s">
        <v>9</v>
      </c>
      <c r="M33" s="15">
        <v>0.56741609999999998</v>
      </c>
      <c r="N33" s="16">
        <v>0.1617982</v>
      </c>
    </row>
    <row r="34" spans="1:14" x14ac:dyDescent="0.35">
      <c r="A34" s="40"/>
      <c r="B34" s="6" t="s">
        <v>13</v>
      </c>
      <c r="C34" s="11">
        <v>0.77509768000000001</v>
      </c>
      <c r="D34" s="12">
        <v>0.10918297</v>
      </c>
      <c r="E34" s="15">
        <v>0.27453660000000002</v>
      </c>
      <c r="F34" s="12">
        <v>7.6290819999999995E-2</v>
      </c>
      <c r="G34" s="15">
        <v>0.21563302000000001</v>
      </c>
      <c r="H34" s="12">
        <v>8.7392429999999993E-2</v>
      </c>
      <c r="I34" s="15">
        <v>0.17343459999999999</v>
      </c>
      <c r="J34" s="12">
        <v>9.2186959999999998E-2</v>
      </c>
      <c r="K34" s="15">
        <v>0.16079450000000001</v>
      </c>
      <c r="L34" s="12">
        <v>9.4124449999999998E-2</v>
      </c>
      <c r="M34" s="15">
        <v>0.2142452</v>
      </c>
      <c r="N34" s="16">
        <v>8.3134979999999997E-2</v>
      </c>
    </row>
    <row r="35" spans="1:14" x14ac:dyDescent="0.35">
      <c r="A35" s="41"/>
      <c r="B35" s="23" t="s">
        <v>14</v>
      </c>
      <c r="C35" s="24">
        <v>8.668621E-2</v>
      </c>
      <c r="D35" s="25">
        <v>0.1143043</v>
      </c>
      <c r="E35" s="26" t="s">
        <v>9</v>
      </c>
      <c r="F35" s="27" t="s">
        <v>9</v>
      </c>
      <c r="G35" s="28">
        <v>9.4067830000000005E-2</v>
      </c>
      <c r="H35" s="25">
        <v>9.5637949999999999E-2</v>
      </c>
      <c r="I35" s="28">
        <v>0.12821750000000001</v>
      </c>
      <c r="J35" s="25">
        <v>8.2701269999999993E-2</v>
      </c>
      <c r="K35" s="28">
        <v>0.1369321</v>
      </c>
      <c r="L35" s="25">
        <v>7.9503610000000002E-2</v>
      </c>
      <c r="M35" s="28" t="str">
        <f>"--"</f>
        <v>--</v>
      </c>
      <c r="N35" s="29" t="str">
        <f>"--"</f>
        <v>--</v>
      </c>
    </row>
    <row r="36" spans="1:14" x14ac:dyDescent="0.35">
      <c r="A36" s="39" t="s">
        <v>27</v>
      </c>
      <c r="B36" s="18" t="s">
        <v>8</v>
      </c>
      <c r="C36" s="19">
        <v>-17.9802</v>
      </c>
      <c r="D36" s="20" t="s">
        <v>9</v>
      </c>
      <c r="E36" s="21">
        <v>-14.09416</v>
      </c>
      <c r="F36" s="20" t="s">
        <v>9</v>
      </c>
      <c r="G36" s="21">
        <v>-13.80049</v>
      </c>
      <c r="H36" s="20" t="s">
        <v>9</v>
      </c>
      <c r="I36" s="21">
        <v>-13.96452</v>
      </c>
      <c r="J36" s="20" t="s">
        <v>9</v>
      </c>
      <c r="K36" s="21">
        <v>-13.984870000000001</v>
      </c>
      <c r="L36" s="20" t="s">
        <v>9</v>
      </c>
      <c r="M36" s="21">
        <v>-13.800560000000001</v>
      </c>
      <c r="N36" s="22" t="s">
        <v>9</v>
      </c>
    </row>
    <row r="37" spans="1:14" x14ac:dyDescent="0.35">
      <c r="A37" s="40"/>
      <c r="B37" s="6" t="s">
        <v>10</v>
      </c>
      <c r="C37" s="11">
        <v>5.4261780000000003E-2</v>
      </c>
      <c r="D37" s="12">
        <v>4.8784609999999999E-2</v>
      </c>
      <c r="E37" s="13" t="s">
        <v>9</v>
      </c>
      <c r="F37" s="14" t="s">
        <v>9</v>
      </c>
      <c r="G37" s="15">
        <v>3.6602450000000002E-2</v>
      </c>
      <c r="H37" s="12">
        <v>4.655107E-2</v>
      </c>
      <c r="I37" s="15">
        <v>4.585906E-2</v>
      </c>
      <c r="J37" s="12">
        <v>4.6510179999999998E-2</v>
      </c>
      <c r="K37" s="15">
        <v>4.6760860000000001E-2</v>
      </c>
      <c r="L37" s="12">
        <v>4.658553E-2</v>
      </c>
      <c r="M37" s="15" t="str">
        <f>"--"</f>
        <v>--</v>
      </c>
      <c r="N37" s="16" t="str">
        <f>"--"</f>
        <v>--</v>
      </c>
    </row>
    <row r="38" spans="1:14" x14ac:dyDescent="0.35">
      <c r="A38" s="40"/>
      <c r="B38" s="6" t="s">
        <v>11</v>
      </c>
      <c r="C38" s="17" t="s">
        <v>9</v>
      </c>
      <c r="D38" s="14" t="s">
        <v>9</v>
      </c>
      <c r="E38" s="15">
        <v>7.2914850000000003E-2</v>
      </c>
      <c r="F38" s="12">
        <v>4.9500200000000001E-2</v>
      </c>
      <c r="G38" s="15">
        <v>6.088383E-2</v>
      </c>
      <c r="H38" s="12">
        <v>4.4535749999999999E-2</v>
      </c>
      <c r="I38" s="15">
        <v>6.5647769999999994E-2</v>
      </c>
      <c r="J38" s="12">
        <v>4.8882290000000002E-2</v>
      </c>
      <c r="K38" s="15">
        <v>6.5993090000000004E-2</v>
      </c>
      <c r="L38" s="12">
        <v>4.9249260000000003E-2</v>
      </c>
      <c r="M38" s="15" t="str">
        <f>"--"</f>
        <v>--</v>
      </c>
      <c r="N38" s="16" t="str">
        <f>"--"</f>
        <v>--</v>
      </c>
    </row>
    <row r="39" spans="1:14" x14ac:dyDescent="0.35">
      <c r="A39" s="40"/>
      <c r="B39" s="6" t="s">
        <v>12</v>
      </c>
      <c r="C39" s="17" t="s">
        <v>9</v>
      </c>
      <c r="D39" s="14" t="s">
        <v>9</v>
      </c>
      <c r="E39" s="13" t="s">
        <v>9</v>
      </c>
      <c r="F39" s="14" t="s">
        <v>9</v>
      </c>
      <c r="G39" s="13" t="s">
        <v>9</v>
      </c>
      <c r="H39" s="14" t="s">
        <v>9</v>
      </c>
      <c r="I39" s="13" t="s">
        <v>9</v>
      </c>
      <c r="J39" s="14" t="s">
        <v>9</v>
      </c>
      <c r="K39" s="13" t="s">
        <v>9</v>
      </c>
      <c r="L39" s="14" t="s">
        <v>9</v>
      </c>
      <c r="M39" s="15">
        <v>9.7496479999999996E-2</v>
      </c>
      <c r="N39" s="16">
        <v>5.650587E-2</v>
      </c>
    </row>
    <row r="40" spans="1:14" x14ac:dyDescent="0.35">
      <c r="A40" s="40"/>
      <c r="B40" s="6" t="s">
        <v>13</v>
      </c>
      <c r="C40" s="11">
        <v>0.31387946999999999</v>
      </c>
      <c r="D40" s="12">
        <v>4.8872039999999999E-2</v>
      </c>
      <c r="E40" s="15">
        <v>0.29499553000000001</v>
      </c>
      <c r="F40" s="12">
        <v>4.143115E-2</v>
      </c>
      <c r="G40" s="15">
        <v>0.27056348000000002</v>
      </c>
      <c r="H40" s="12">
        <v>4.9904240000000002E-2</v>
      </c>
      <c r="I40" s="15">
        <v>0.26548358</v>
      </c>
      <c r="J40" s="12">
        <v>5.1136309999999997E-2</v>
      </c>
      <c r="K40" s="15">
        <v>0.26507957999999998</v>
      </c>
      <c r="L40" s="12">
        <v>5.1249669999999997E-2</v>
      </c>
      <c r="M40" s="15">
        <v>0.27104388000000001</v>
      </c>
      <c r="N40" s="16">
        <v>4.7065620000000002E-2</v>
      </c>
    </row>
    <row r="41" spans="1:14" x14ac:dyDescent="0.35">
      <c r="A41" s="41"/>
      <c r="B41" s="23" t="s">
        <v>14</v>
      </c>
      <c r="C41" s="24">
        <v>0.14739389999999999</v>
      </c>
      <c r="D41" s="25">
        <v>0.1282905</v>
      </c>
      <c r="E41" s="26" t="s">
        <v>9</v>
      </c>
      <c r="F41" s="27" t="s">
        <v>9</v>
      </c>
      <c r="G41" s="28">
        <v>9.9449739999999995E-2</v>
      </c>
      <c r="H41" s="25">
        <v>0.1247867</v>
      </c>
      <c r="I41" s="28">
        <v>0.12164519999999999</v>
      </c>
      <c r="J41" s="25">
        <v>0.1209961</v>
      </c>
      <c r="K41" s="28">
        <v>0.1237605</v>
      </c>
      <c r="L41" s="25">
        <v>0.1208352</v>
      </c>
      <c r="M41" s="28" t="str">
        <f>"--"</f>
        <v>--</v>
      </c>
      <c r="N41" s="29" t="str">
        <f>"--"</f>
        <v>--</v>
      </c>
    </row>
    <row r="42" spans="1:14" x14ac:dyDescent="0.35">
      <c r="A42" s="39" t="s">
        <v>18</v>
      </c>
      <c r="B42" s="18" t="s">
        <v>8</v>
      </c>
      <c r="C42" s="19">
        <v>-77.037710000000004</v>
      </c>
      <c r="D42" s="20" t="s">
        <v>9</v>
      </c>
      <c r="E42" s="21">
        <v>-39.707450000000001</v>
      </c>
      <c r="F42" s="20" t="s">
        <v>9</v>
      </c>
      <c r="G42" s="21">
        <v>-37.938160000000003</v>
      </c>
      <c r="H42" s="20" t="s">
        <v>9</v>
      </c>
      <c r="I42" s="21">
        <v>-37.076160000000002</v>
      </c>
      <c r="J42" s="20" t="s">
        <v>9</v>
      </c>
      <c r="K42" s="21">
        <v>-36.840780000000002</v>
      </c>
      <c r="L42" s="20" t="s">
        <v>9</v>
      </c>
      <c r="M42" s="21">
        <v>-37.938160000000003</v>
      </c>
      <c r="N42" s="22" t="s">
        <v>9</v>
      </c>
    </row>
    <row r="43" spans="1:14" x14ac:dyDescent="0.35">
      <c r="A43" s="40"/>
      <c r="B43" s="6" t="s">
        <v>10</v>
      </c>
      <c r="C43" s="11">
        <v>0.18595059999999999</v>
      </c>
      <c r="D43" s="12">
        <v>9.11E-2</v>
      </c>
      <c r="E43" s="13" t="s">
        <v>9</v>
      </c>
      <c r="F43" s="14" t="s">
        <v>9</v>
      </c>
      <c r="G43" s="15">
        <v>0.10937860000000001</v>
      </c>
      <c r="H43" s="12">
        <v>6.7748680000000006E-2</v>
      </c>
      <c r="I43" s="15">
        <v>0.14636109999999999</v>
      </c>
      <c r="J43" s="12">
        <v>6.3223950000000001E-2</v>
      </c>
      <c r="K43" s="15">
        <v>0.18245230000000001</v>
      </c>
      <c r="L43" s="12">
        <v>6.029905E-2</v>
      </c>
      <c r="M43" s="15" t="str">
        <f>"--"</f>
        <v>--</v>
      </c>
      <c r="N43" s="16" t="str">
        <f>"--"</f>
        <v>--</v>
      </c>
    </row>
    <row r="44" spans="1:14" x14ac:dyDescent="0.35">
      <c r="A44" s="40"/>
      <c r="B44" s="6" t="s">
        <v>11</v>
      </c>
      <c r="C44" s="17" t="s">
        <v>9</v>
      </c>
      <c r="D44" s="14" t="s">
        <v>9</v>
      </c>
      <c r="E44" s="15">
        <v>0.59814270000000003</v>
      </c>
      <c r="F44" s="12">
        <v>0.15468714</v>
      </c>
      <c r="G44" s="15">
        <v>0.48865985000000001</v>
      </c>
      <c r="H44" s="12">
        <v>0.14591170000000001</v>
      </c>
      <c r="I44" s="15">
        <v>0.56819710000000001</v>
      </c>
      <c r="J44" s="12">
        <v>0.16913305000000001</v>
      </c>
      <c r="K44" s="15">
        <v>0.67258580000000001</v>
      </c>
      <c r="L44" s="12">
        <v>0.17123959</v>
      </c>
      <c r="M44" s="15" t="str">
        <f>"--"</f>
        <v>--</v>
      </c>
      <c r="N44" s="16" t="str">
        <f>"--"</f>
        <v>--</v>
      </c>
    </row>
    <row r="45" spans="1:14" x14ac:dyDescent="0.35">
      <c r="A45" s="40"/>
      <c r="B45" s="6" t="s">
        <v>12</v>
      </c>
      <c r="C45" s="17" t="s">
        <v>9</v>
      </c>
      <c r="D45" s="14" t="s">
        <v>9</v>
      </c>
      <c r="E45" s="13" t="s">
        <v>9</v>
      </c>
      <c r="F45" s="14" t="s">
        <v>9</v>
      </c>
      <c r="G45" s="13" t="s">
        <v>9</v>
      </c>
      <c r="H45" s="14" t="s">
        <v>9</v>
      </c>
      <c r="I45" s="13" t="s">
        <v>9</v>
      </c>
      <c r="J45" s="14" t="s">
        <v>9</v>
      </c>
      <c r="K45" s="13" t="s">
        <v>9</v>
      </c>
      <c r="L45" s="14" t="s">
        <v>9</v>
      </c>
      <c r="M45" s="15">
        <v>0.59993162</v>
      </c>
      <c r="N45" s="16">
        <v>0.13971369</v>
      </c>
    </row>
    <row r="46" spans="1:14" x14ac:dyDescent="0.35">
      <c r="A46" s="40"/>
      <c r="B46" s="6" t="s">
        <v>13</v>
      </c>
      <c r="C46" s="11">
        <v>0.46183360000000001</v>
      </c>
      <c r="D46" s="12">
        <v>7.9564339999999997E-2</v>
      </c>
      <c r="E46" s="15">
        <v>0.1212848</v>
      </c>
      <c r="F46" s="12">
        <v>7.0036180000000003E-2</v>
      </c>
      <c r="G46" s="15">
        <v>8.1994750000000005E-2</v>
      </c>
      <c r="H46" s="12">
        <v>6.7399959999999995E-2</v>
      </c>
      <c r="I46" s="15">
        <v>5.0200099999999998E-2</v>
      </c>
      <c r="J46" s="12">
        <v>7.1356030000000001E-2</v>
      </c>
      <c r="K46" s="15">
        <v>2.4753899999999999E-2</v>
      </c>
      <c r="L46" s="12">
        <v>7.5903659999999998E-2</v>
      </c>
      <c r="M46" s="15">
        <v>8.2237920000000006E-2</v>
      </c>
      <c r="N46" s="16">
        <v>6.7338880000000004E-2</v>
      </c>
    </row>
    <row r="47" spans="1:14" x14ac:dyDescent="0.35">
      <c r="A47" s="41"/>
      <c r="B47" s="23" t="s">
        <v>14</v>
      </c>
      <c r="C47" s="24">
        <v>0.28705639999999999</v>
      </c>
      <c r="D47" s="25">
        <v>0.12862399999999999</v>
      </c>
      <c r="E47" s="26" t="s">
        <v>9</v>
      </c>
      <c r="F47" s="27" t="s">
        <v>9</v>
      </c>
      <c r="G47" s="28">
        <v>0.16084300000000001</v>
      </c>
      <c r="H47" s="25">
        <v>0.1009751</v>
      </c>
      <c r="I47" s="28">
        <v>0.1913822</v>
      </c>
      <c r="J47" s="25">
        <v>8.4218199999999993E-2</v>
      </c>
      <c r="K47" s="28">
        <v>0.20738110000000001</v>
      </c>
      <c r="L47" s="25">
        <v>7.3532239999999999E-2</v>
      </c>
      <c r="M47" s="28" t="str">
        <f>"--"</f>
        <v>--</v>
      </c>
      <c r="N47" s="29" t="str">
        <f>"--"</f>
        <v>--</v>
      </c>
    </row>
    <row r="48" spans="1:14" x14ac:dyDescent="0.35">
      <c r="A48" s="39" t="s">
        <v>19</v>
      </c>
      <c r="B48" s="18" t="s">
        <v>8</v>
      </c>
      <c r="C48" s="19">
        <v>-94.009119999999996</v>
      </c>
      <c r="D48" s="20" t="s">
        <v>9</v>
      </c>
      <c r="E48" s="21">
        <v>-55.752929999999999</v>
      </c>
      <c r="F48" s="20" t="s">
        <v>9</v>
      </c>
      <c r="G48" s="21">
        <v>-53.528030000000001</v>
      </c>
      <c r="H48" s="20" t="s">
        <v>9</v>
      </c>
      <c r="I48" s="21">
        <v>-54.248539999999998</v>
      </c>
      <c r="J48" s="20" t="s">
        <v>9</v>
      </c>
      <c r="K48" s="21">
        <v>-53.703719999999997</v>
      </c>
      <c r="L48" s="20" t="s">
        <v>9</v>
      </c>
      <c r="M48" s="21">
        <v>-53.528030000000001</v>
      </c>
      <c r="N48" s="22" t="s">
        <v>9</v>
      </c>
    </row>
    <row r="49" spans="1:14" x14ac:dyDescent="0.35">
      <c r="A49" s="40"/>
      <c r="B49" s="6" t="s">
        <v>10</v>
      </c>
      <c r="C49" s="11">
        <v>0.25394099999999997</v>
      </c>
      <c r="D49" s="12">
        <v>0.1108623</v>
      </c>
      <c r="E49" s="13" t="s">
        <v>9</v>
      </c>
      <c r="F49" s="14" t="s">
        <v>9</v>
      </c>
      <c r="G49" s="15">
        <v>0.1463217</v>
      </c>
      <c r="H49" s="12">
        <v>8.1203819999999996E-2</v>
      </c>
      <c r="I49" s="15">
        <v>0.21198429999999999</v>
      </c>
      <c r="J49" s="12">
        <v>7.9276410000000005E-2</v>
      </c>
      <c r="K49" s="15">
        <v>0.17163900000000001</v>
      </c>
      <c r="L49" s="12">
        <v>7.9267770000000001E-2</v>
      </c>
      <c r="M49" s="15" t="str">
        <f>"--"</f>
        <v>--</v>
      </c>
      <c r="N49" s="16" t="str">
        <f>"--"</f>
        <v>--</v>
      </c>
    </row>
    <row r="50" spans="1:14" x14ac:dyDescent="0.35">
      <c r="A50" s="40"/>
      <c r="B50" s="6" t="s">
        <v>11</v>
      </c>
      <c r="C50" s="17" t="s">
        <v>9</v>
      </c>
      <c r="D50" s="14" t="s">
        <v>9</v>
      </c>
      <c r="E50" s="15">
        <v>0.49984400000000001</v>
      </c>
      <c r="F50" s="12">
        <v>0.15770386</v>
      </c>
      <c r="G50" s="15">
        <v>0.38658330000000002</v>
      </c>
      <c r="H50" s="12">
        <v>0.13759466000000001</v>
      </c>
      <c r="I50" s="15">
        <v>0.4737595</v>
      </c>
      <c r="J50" s="12">
        <v>0.16885401</v>
      </c>
      <c r="K50" s="15">
        <v>0.41666510000000001</v>
      </c>
      <c r="L50" s="12">
        <v>0.14805922999999999</v>
      </c>
      <c r="M50" s="15" t="str">
        <f>"--"</f>
        <v>--</v>
      </c>
      <c r="N50" s="16" t="str">
        <f>"--"</f>
        <v>--</v>
      </c>
    </row>
    <row r="51" spans="1:14" x14ac:dyDescent="0.35">
      <c r="A51" s="40"/>
      <c r="B51" s="6" t="s">
        <v>12</v>
      </c>
      <c r="C51" s="17" t="s">
        <v>9</v>
      </c>
      <c r="D51" s="14" t="s">
        <v>9</v>
      </c>
      <c r="E51" s="13" t="s">
        <v>9</v>
      </c>
      <c r="F51" s="14" t="s">
        <v>9</v>
      </c>
      <c r="G51" s="13" t="s">
        <v>9</v>
      </c>
      <c r="H51" s="14" t="s">
        <v>9</v>
      </c>
      <c r="I51" s="13" t="s">
        <v>9</v>
      </c>
      <c r="J51" s="14" t="s">
        <v>9</v>
      </c>
      <c r="K51" s="13" t="s">
        <v>9</v>
      </c>
      <c r="L51" s="14" t="s">
        <v>9</v>
      </c>
      <c r="M51" s="15">
        <v>0.53330599999999995</v>
      </c>
      <c r="N51" s="16">
        <v>0.14126912999999999</v>
      </c>
    </row>
    <row r="52" spans="1:14" x14ac:dyDescent="0.35">
      <c r="A52" s="40"/>
      <c r="B52" s="6" t="s">
        <v>13</v>
      </c>
      <c r="C52" s="11">
        <v>0.4989886</v>
      </c>
      <c r="D52" s="12">
        <v>9.1556449999999998E-2</v>
      </c>
      <c r="E52" s="15">
        <v>0.2241919</v>
      </c>
      <c r="F52" s="12">
        <v>7.8131320000000004E-2</v>
      </c>
      <c r="G52" s="15">
        <v>0.1579246</v>
      </c>
      <c r="H52" s="12">
        <v>7.5483289999999995E-2</v>
      </c>
      <c r="I52" s="15">
        <v>0.1155413</v>
      </c>
      <c r="J52" s="12">
        <v>8.0630220000000002E-2</v>
      </c>
      <c r="K52" s="15">
        <v>0.1401665</v>
      </c>
      <c r="L52" s="12">
        <v>7.7111009999999994E-2</v>
      </c>
      <c r="M52" s="15">
        <v>0.1580377</v>
      </c>
      <c r="N52" s="16">
        <v>7.5278079999999997E-2</v>
      </c>
    </row>
    <row r="53" spans="1:14" x14ac:dyDescent="0.35">
      <c r="A53" s="41"/>
      <c r="B53" s="23" t="s">
        <v>14</v>
      </c>
      <c r="C53" s="24">
        <v>0.33727059999999998</v>
      </c>
      <c r="D53" s="25">
        <v>0.13122729999999999</v>
      </c>
      <c r="E53" s="26" t="s">
        <v>9</v>
      </c>
      <c r="F53" s="27" t="s">
        <v>9</v>
      </c>
      <c r="G53" s="28">
        <v>0.21180579999999999</v>
      </c>
      <c r="H53" s="25">
        <v>0.1163541</v>
      </c>
      <c r="I53" s="28">
        <v>0.2645554</v>
      </c>
      <c r="J53" s="25">
        <v>9.7634449999999998E-2</v>
      </c>
      <c r="K53" s="28">
        <v>0.23561550000000001</v>
      </c>
      <c r="L53" s="25">
        <v>0.1076959</v>
      </c>
      <c r="M53" s="28" t="str">
        <f>"--"</f>
        <v>--</v>
      </c>
      <c r="N53" s="29" t="str">
        <f>"--"</f>
        <v>--</v>
      </c>
    </row>
    <row r="54" spans="1:14" x14ac:dyDescent="0.35">
      <c r="A54" s="39" t="s">
        <v>20</v>
      </c>
      <c r="B54" s="18" t="s">
        <v>8</v>
      </c>
      <c r="C54" s="19">
        <v>-89.136719999999997</v>
      </c>
      <c r="D54" s="20" t="s">
        <v>9</v>
      </c>
      <c r="E54" s="21">
        <v>-59.742330000000003</v>
      </c>
      <c r="F54" s="20" t="s">
        <v>9</v>
      </c>
      <c r="G54" s="21">
        <v>-59.02252</v>
      </c>
      <c r="H54" s="20" t="s">
        <v>9</v>
      </c>
      <c r="I54" s="21">
        <v>-58.47119</v>
      </c>
      <c r="J54" s="20" t="s">
        <v>9</v>
      </c>
      <c r="K54" s="21">
        <v>-56.194789999999998</v>
      </c>
      <c r="L54" s="20" t="s">
        <v>9</v>
      </c>
      <c r="M54" s="21">
        <v>-59.022509999999997</v>
      </c>
      <c r="N54" s="22" t="s">
        <v>9</v>
      </c>
    </row>
    <row r="55" spans="1:14" x14ac:dyDescent="0.35">
      <c r="A55" s="40"/>
      <c r="B55" s="6" t="s">
        <v>10</v>
      </c>
      <c r="C55" s="11">
        <v>6.4546980000000004E-2</v>
      </c>
      <c r="D55" s="12">
        <v>7.3940450000000005E-2</v>
      </c>
      <c r="E55" s="13" t="s">
        <v>9</v>
      </c>
      <c r="F55" s="14" t="s">
        <v>9</v>
      </c>
      <c r="G55" s="15">
        <v>8.0055600000000005E-2</v>
      </c>
      <c r="H55" s="12">
        <v>7.4530260000000001E-2</v>
      </c>
      <c r="I55" s="15">
        <v>8.9994519999999995E-2</v>
      </c>
      <c r="J55" s="12">
        <v>7.2124179999999996E-2</v>
      </c>
      <c r="K55" s="15">
        <v>0.15033756000000001</v>
      </c>
      <c r="L55" s="12">
        <v>6.8871379999999996E-2</v>
      </c>
      <c r="M55" s="15" t="str">
        <f>"--"</f>
        <v>--</v>
      </c>
      <c r="N55" s="16" t="str">
        <f>"--"</f>
        <v>--</v>
      </c>
    </row>
    <row r="56" spans="1:14" x14ac:dyDescent="0.35">
      <c r="A56" s="40"/>
      <c r="B56" s="6" t="s">
        <v>11</v>
      </c>
      <c r="C56" s="17" t="s">
        <v>9</v>
      </c>
      <c r="D56" s="14" t="s">
        <v>9</v>
      </c>
      <c r="E56" s="15">
        <v>0.51116039999999996</v>
      </c>
      <c r="F56" s="12">
        <v>0.15903100000000001</v>
      </c>
      <c r="G56" s="15">
        <v>0.48923990000000001</v>
      </c>
      <c r="H56" s="12">
        <v>0.15632151</v>
      </c>
      <c r="I56" s="15">
        <v>0.51609653</v>
      </c>
      <c r="J56" s="12">
        <v>0.16366343999999999</v>
      </c>
      <c r="K56" s="15">
        <v>0.76503867000000003</v>
      </c>
      <c r="L56" s="12">
        <v>0.225526</v>
      </c>
      <c r="M56" s="15" t="str">
        <f>"--"</f>
        <v>--</v>
      </c>
      <c r="N56" s="16" t="str">
        <f>"--"</f>
        <v>--</v>
      </c>
    </row>
    <row r="57" spans="1:14" x14ac:dyDescent="0.35">
      <c r="A57" s="40"/>
      <c r="B57" s="6" t="s">
        <v>12</v>
      </c>
      <c r="C57" s="17" t="s">
        <v>9</v>
      </c>
      <c r="D57" s="14" t="s">
        <v>9</v>
      </c>
      <c r="E57" s="13" t="s">
        <v>9</v>
      </c>
      <c r="F57" s="14" t="s">
        <v>9</v>
      </c>
      <c r="G57" s="13" t="s">
        <v>9</v>
      </c>
      <c r="H57" s="14" t="s">
        <v>9</v>
      </c>
      <c r="I57" s="13" t="s">
        <v>9</v>
      </c>
      <c r="J57" s="14" t="s">
        <v>9</v>
      </c>
      <c r="K57" s="13" t="s">
        <v>9</v>
      </c>
      <c r="L57" s="14" t="s">
        <v>9</v>
      </c>
      <c r="M57" s="15">
        <v>0.56910669999999997</v>
      </c>
      <c r="N57" s="16">
        <v>0.16163731000000001</v>
      </c>
    </row>
    <row r="58" spans="1:14" x14ac:dyDescent="0.35">
      <c r="A58" s="40"/>
      <c r="B58" s="6" t="s">
        <v>13</v>
      </c>
      <c r="C58" s="11">
        <v>0.62636457999999995</v>
      </c>
      <c r="D58" s="12">
        <v>8.5293629999999995E-2</v>
      </c>
      <c r="E58" s="15">
        <v>0.23327300000000001</v>
      </c>
      <c r="F58" s="12">
        <v>7.8301599999999999E-2</v>
      </c>
      <c r="G58" s="15">
        <v>0.17942559999999999</v>
      </c>
      <c r="H58" s="12">
        <v>8.4906670000000004E-2</v>
      </c>
      <c r="I58" s="15">
        <v>0.16656275000000001</v>
      </c>
      <c r="J58" s="12">
        <v>8.6002560000000006E-2</v>
      </c>
      <c r="K58" s="15">
        <v>9.7345609999999999E-2</v>
      </c>
      <c r="L58" s="12">
        <v>9.6630599999999997E-2</v>
      </c>
      <c r="M58" s="15">
        <v>0.1791896</v>
      </c>
      <c r="N58" s="16">
        <v>8.2786760000000001E-2</v>
      </c>
    </row>
    <row r="59" spans="1:14" x14ac:dyDescent="0.35">
      <c r="A59" s="41"/>
      <c r="B59" s="23" t="s">
        <v>14</v>
      </c>
      <c r="C59" s="24">
        <v>9.3422930000000001E-2</v>
      </c>
      <c r="D59" s="25">
        <v>0.1053472</v>
      </c>
      <c r="E59" s="26" t="s">
        <v>9</v>
      </c>
      <c r="F59" s="27" t="s">
        <v>9</v>
      </c>
      <c r="G59" s="28">
        <v>0.10692309999999999</v>
      </c>
      <c r="H59" s="25">
        <v>9.9335670000000001E-2</v>
      </c>
      <c r="I59" s="28">
        <v>0.1164746</v>
      </c>
      <c r="J59" s="25">
        <v>9.3094339999999998E-2</v>
      </c>
      <c r="K59" s="28">
        <v>0.148449</v>
      </c>
      <c r="L59" s="25">
        <v>6.7572270000000004E-2</v>
      </c>
      <c r="M59" s="28" t="str">
        <f>"--"</f>
        <v>--</v>
      </c>
      <c r="N59" s="29" t="str">
        <f>"--"</f>
        <v>--</v>
      </c>
    </row>
    <row r="60" spans="1:14" x14ac:dyDescent="0.35">
      <c r="A60" s="39" t="s">
        <v>21</v>
      </c>
      <c r="B60" s="18" t="s">
        <v>8</v>
      </c>
      <c r="C60" s="19">
        <v>-109.3356</v>
      </c>
      <c r="D60" s="20" t="s">
        <v>9</v>
      </c>
      <c r="E60" s="21">
        <v>-103.92189999999999</v>
      </c>
      <c r="F60" s="20" t="s">
        <v>9</v>
      </c>
      <c r="G60" s="21">
        <v>-102.8347</v>
      </c>
      <c r="H60" s="20" t="s">
        <v>9</v>
      </c>
      <c r="I60" s="21">
        <v>-104.00539999999999</v>
      </c>
      <c r="J60" s="20" t="s">
        <v>9</v>
      </c>
      <c r="K60" s="21">
        <v>-106.5907</v>
      </c>
      <c r="L60" s="20" t="s">
        <v>9</v>
      </c>
      <c r="M60" s="21">
        <v>0.88515920000000003</v>
      </c>
      <c r="N60" s="22" t="s">
        <v>9</v>
      </c>
    </row>
    <row r="61" spans="1:14" x14ac:dyDescent="0.35">
      <c r="A61" s="40"/>
      <c r="B61" s="6" t="s">
        <v>10</v>
      </c>
      <c r="C61" s="11">
        <v>0.45630850000000001</v>
      </c>
      <c r="D61" s="12">
        <v>0.16352639999999999</v>
      </c>
      <c r="E61" s="13" t="s">
        <v>9</v>
      </c>
      <c r="F61" s="14" t="s">
        <v>9</v>
      </c>
      <c r="G61" s="15">
        <v>0.1802377</v>
      </c>
      <c r="H61" s="12">
        <v>0.1322536</v>
      </c>
      <c r="I61" s="15">
        <v>0.42148503999999998</v>
      </c>
      <c r="J61" s="12">
        <v>0.21555959999999999</v>
      </c>
      <c r="K61" s="15">
        <v>0.55847709999999995</v>
      </c>
      <c r="L61" s="12">
        <v>0.13990910000000001</v>
      </c>
      <c r="M61" s="15" t="str">
        <f>"--"</f>
        <v>--</v>
      </c>
      <c r="N61" s="16" t="str">
        <f>"--"</f>
        <v>--</v>
      </c>
    </row>
    <row r="62" spans="1:14" x14ac:dyDescent="0.35">
      <c r="A62" s="40"/>
      <c r="B62" s="6" t="s">
        <v>11</v>
      </c>
      <c r="C62" s="17" t="s">
        <v>9</v>
      </c>
      <c r="D62" s="14" t="s">
        <v>9</v>
      </c>
      <c r="E62" s="15">
        <v>1.1746297000000001</v>
      </c>
      <c r="F62" s="12">
        <v>0.32221119999999998</v>
      </c>
      <c r="G62" s="15">
        <v>0.9478683</v>
      </c>
      <c r="H62" s="12">
        <v>0.2911725</v>
      </c>
      <c r="I62" s="15">
        <v>1.3736748599999999</v>
      </c>
      <c r="J62" s="12">
        <v>0.59492820000000002</v>
      </c>
      <c r="K62" s="15">
        <v>1.0488225</v>
      </c>
      <c r="L62" s="12">
        <v>0.44843129999999998</v>
      </c>
      <c r="M62" s="15" t="str">
        <f>"--"</f>
        <v>--</v>
      </c>
      <c r="N62" s="16" t="str">
        <f>"--"</f>
        <v>--</v>
      </c>
    </row>
    <row r="63" spans="1:14" x14ac:dyDescent="0.35">
      <c r="A63" s="40"/>
      <c r="B63" s="6" t="s">
        <v>12</v>
      </c>
      <c r="C63" s="17" t="s">
        <v>9</v>
      </c>
      <c r="D63" s="14" t="s">
        <v>9</v>
      </c>
      <c r="E63" s="13" t="s">
        <v>9</v>
      </c>
      <c r="F63" s="14" t="s">
        <v>9</v>
      </c>
      <c r="G63" s="13" t="s">
        <v>9</v>
      </c>
      <c r="H63" s="14" t="s">
        <v>9</v>
      </c>
      <c r="I63" s="13" t="s">
        <v>9</v>
      </c>
      <c r="J63" s="14" t="s">
        <v>9</v>
      </c>
      <c r="K63" s="13" t="s">
        <v>9</v>
      </c>
      <c r="L63" s="14" t="s">
        <v>9</v>
      </c>
      <c r="M63" s="15">
        <v>1.1125217999999999</v>
      </c>
      <c r="N63" s="16">
        <v>0.26882210000000001</v>
      </c>
    </row>
    <row r="64" spans="1:14" x14ac:dyDescent="0.35">
      <c r="A64" s="40"/>
      <c r="B64" s="6" t="s">
        <v>13</v>
      </c>
      <c r="C64" s="11">
        <v>0.50052980000000002</v>
      </c>
      <c r="D64" s="12">
        <v>0.1196376</v>
      </c>
      <c r="E64" s="15">
        <v>0.16275680000000001</v>
      </c>
      <c r="F64" s="12">
        <v>0.1447263</v>
      </c>
      <c r="G64" s="15">
        <v>0.1462725</v>
      </c>
      <c r="H64" s="12">
        <v>0.14428079999999999</v>
      </c>
      <c r="I64" s="15">
        <v>6.0820779999999998E-2</v>
      </c>
      <c r="J64" s="12">
        <v>0.16727810000000001</v>
      </c>
      <c r="K64" s="15">
        <v>0.1803063</v>
      </c>
      <c r="L64" s="12">
        <v>0.17963280000000001</v>
      </c>
      <c r="M64" s="15">
        <v>0.14433889999999999</v>
      </c>
      <c r="N64" s="16">
        <v>0.14408290000000001</v>
      </c>
    </row>
    <row r="65" spans="1:14" x14ac:dyDescent="0.35">
      <c r="A65" s="41"/>
      <c r="B65" s="23" t="s">
        <v>14</v>
      </c>
      <c r="C65" s="24">
        <v>0.47689189999999998</v>
      </c>
      <c r="D65" s="25">
        <v>0.1411172</v>
      </c>
      <c r="E65" s="26" t="s">
        <v>9</v>
      </c>
      <c r="F65" s="27" t="s">
        <v>9</v>
      </c>
      <c r="G65" s="28">
        <v>0.1414318</v>
      </c>
      <c r="H65" s="25">
        <v>0.108068</v>
      </c>
      <c r="I65" s="28">
        <v>0.22709560000000001</v>
      </c>
      <c r="J65" s="25">
        <v>7.628269E-2</v>
      </c>
      <c r="K65" s="28">
        <v>0.31241619999999998</v>
      </c>
      <c r="L65" s="25">
        <v>9.4807740000000001E-2</v>
      </c>
      <c r="M65" s="28" t="str">
        <f>"--"</f>
        <v>--</v>
      </c>
      <c r="N65" s="29" t="str">
        <f>"--"</f>
        <v>--</v>
      </c>
    </row>
    <row r="66" spans="1:14" x14ac:dyDescent="0.35">
      <c r="A66" s="39" t="s">
        <v>22</v>
      </c>
      <c r="B66" s="18" t="s">
        <v>8</v>
      </c>
      <c r="C66" s="19">
        <v>-89.711910000000003</v>
      </c>
      <c r="D66" s="20" t="s">
        <v>9</v>
      </c>
      <c r="E66" s="21">
        <v>-65.707350000000005</v>
      </c>
      <c r="F66" s="20" t="s">
        <v>9</v>
      </c>
      <c r="G66" s="21">
        <v>-62.122599999999998</v>
      </c>
      <c r="H66" s="20" t="s">
        <v>9</v>
      </c>
      <c r="I66" s="21">
        <v>-64.847369999999998</v>
      </c>
      <c r="J66" s="20" t="s">
        <v>9</v>
      </c>
      <c r="K66" s="21">
        <v>-62.908749999999998</v>
      </c>
      <c r="L66" s="20" t="s">
        <v>9</v>
      </c>
      <c r="M66" s="21">
        <v>-62.122610000000002</v>
      </c>
      <c r="N66" s="22" t="s">
        <v>9</v>
      </c>
    </row>
    <row r="67" spans="1:14" x14ac:dyDescent="0.35">
      <c r="A67" s="40"/>
      <c r="B67" s="6" t="s">
        <v>10</v>
      </c>
      <c r="C67" s="11">
        <v>0.42903730000000001</v>
      </c>
      <c r="D67" s="12">
        <v>0.13205325000000001</v>
      </c>
      <c r="E67" s="13" t="s">
        <v>9</v>
      </c>
      <c r="F67" s="14" t="s">
        <v>9</v>
      </c>
      <c r="G67" s="15">
        <v>0.18415260999999999</v>
      </c>
      <c r="H67" s="12">
        <v>9.1292159999999997E-2</v>
      </c>
      <c r="I67" s="15">
        <v>0.994083575</v>
      </c>
      <c r="J67" s="12">
        <v>21.054124399999999</v>
      </c>
      <c r="K67" s="15">
        <v>0.23054780999999999</v>
      </c>
      <c r="L67" s="12">
        <v>8.9481560000000002E-2</v>
      </c>
      <c r="M67" s="15" t="str">
        <f>"--"</f>
        <v>--</v>
      </c>
      <c r="N67" s="16" t="str">
        <f>"--"</f>
        <v>--</v>
      </c>
    </row>
    <row r="68" spans="1:14" x14ac:dyDescent="0.35">
      <c r="A68" s="40"/>
      <c r="B68" s="6" t="s">
        <v>11</v>
      </c>
      <c r="C68" s="17" t="s">
        <v>9</v>
      </c>
      <c r="D68" s="14" t="s">
        <v>9</v>
      </c>
      <c r="E68" s="15">
        <v>0.73192690000000005</v>
      </c>
      <c r="F68" s="12">
        <v>0.19514735999999999</v>
      </c>
      <c r="G68" s="15">
        <v>0.56881457999999996</v>
      </c>
      <c r="H68" s="12">
        <v>0.18044558999999999</v>
      </c>
      <c r="I68" s="15">
        <v>2.256978546</v>
      </c>
      <c r="J68" s="12">
        <v>47.960172399999998</v>
      </c>
      <c r="K68" s="15">
        <v>0.61443904000000005</v>
      </c>
      <c r="L68" s="12">
        <v>0.18674446</v>
      </c>
      <c r="M68" s="15" t="str">
        <f>"--"</f>
        <v>--</v>
      </c>
      <c r="N68" s="16" t="str">
        <f>"--"</f>
        <v>--</v>
      </c>
    </row>
    <row r="69" spans="1:14" x14ac:dyDescent="0.35">
      <c r="A69" s="40"/>
      <c r="B69" s="6" t="s">
        <v>12</v>
      </c>
      <c r="C69" s="17" t="s">
        <v>9</v>
      </c>
      <c r="D69" s="14" t="s">
        <v>9</v>
      </c>
      <c r="E69" s="13" t="s">
        <v>9</v>
      </c>
      <c r="F69" s="14" t="s">
        <v>9</v>
      </c>
      <c r="G69" s="13" t="s">
        <v>9</v>
      </c>
      <c r="H69" s="14" t="s">
        <v>9</v>
      </c>
      <c r="I69" s="13" t="s">
        <v>9</v>
      </c>
      <c r="J69" s="14" t="s">
        <v>9</v>
      </c>
      <c r="K69" s="13" t="s">
        <v>9</v>
      </c>
      <c r="L69" s="14" t="s">
        <v>9</v>
      </c>
      <c r="M69" s="15">
        <v>0.75169248</v>
      </c>
      <c r="N69" s="16">
        <v>0.1777262</v>
      </c>
    </row>
    <row r="70" spans="1:14" x14ac:dyDescent="0.35">
      <c r="A70" s="40"/>
      <c r="B70" s="6" t="s">
        <v>13</v>
      </c>
      <c r="C70" s="11">
        <v>0.38600980000000001</v>
      </c>
      <c r="D70" s="12">
        <v>9.2295520000000006E-2</v>
      </c>
      <c r="E70" s="15">
        <v>0.16302900000000001</v>
      </c>
      <c r="F70" s="12">
        <v>8.8128310000000001E-2</v>
      </c>
      <c r="G70" s="15">
        <v>8.7025950000000005E-2</v>
      </c>
      <c r="H70" s="12">
        <v>8.5755890000000001E-2</v>
      </c>
      <c r="I70" s="15">
        <v>3.158058E-3</v>
      </c>
      <c r="J70" s="12">
        <v>0.1015132</v>
      </c>
      <c r="K70" s="15">
        <v>6.2142120000000002E-2</v>
      </c>
      <c r="L70" s="12">
        <v>8.9183709999999999E-2</v>
      </c>
      <c r="M70" s="15">
        <v>8.6927580000000004E-2</v>
      </c>
      <c r="N70" s="16">
        <v>8.5719279999999995E-2</v>
      </c>
    </row>
    <row r="71" spans="1:14" x14ac:dyDescent="0.35">
      <c r="A71" s="41"/>
      <c r="B71" s="23" t="s">
        <v>14</v>
      </c>
      <c r="C71" s="24">
        <v>0.52639570000000002</v>
      </c>
      <c r="D71" s="25">
        <v>0.12793950000000001</v>
      </c>
      <c r="E71" s="26" t="s">
        <v>9</v>
      </c>
      <c r="F71" s="27" t="s">
        <v>9</v>
      </c>
      <c r="G71" s="28">
        <v>0.21923110000000001</v>
      </c>
      <c r="H71" s="25">
        <v>0.1093725</v>
      </c>
      <c r="I71" s="28">
        <v>0.3054752</v>
      </c>
      <c r="J71" s="25">
        <v>3.523569E-2</v>
      </c>
      <c r="K71" s="28">
        <v>0.25415110000000002</v>
      </c>
      <c r="L71" s="25">
        <v>0.101121</v>
      </c>
      <c r="M71" s="28" t="str">
        <f>"--"</f>
        <v>--</v>
      </c>
      <c r="N71" s="29" t="str">
        <f>"--"</f>
        <v>--</v>
      </c>
    </row>
    <row r="72" spans="1:14" x14ac:dyDescent="0.35">
      <c r="A72" s="39" t="s">
        <v>23</v>
      </c>
      <c r="B72" s="18" t="s">
        <v>8</v>
      </c>
      <c r="C72" s="19">
        <v>-124.2684</v>
      </c>
      <c r="D72" s="20" t="s">
        <v>9</v>
      </c>
      <c r="E72" s="21">
        <v>-127.98439999999999</v>
      </c>
      <c r="F72" s="20" t="s">
        <v>9</v>
      </c>
      <c r="G72" s="21">
        <v>-124.1138</v>
      </c>
      <c r="H72" s="20" t="s">
        <v>9</v>
      </c>
      <c r="I72" s="21">
        <v>-124.152</v>
      </c>
      <c r="J72" s="20" t="s">
        <v>9</v>
      </c>
      <c r="K72" s="21">
        <v>-124.0442</v>
      </c>
      <c r="L72" s="20" t="s">
        <v>9</v>
      </c>
      <c r="M72" s="21">
        <v>-124.11369999999999</v>
      </c>
      <c r="N72" s="22" t="s">
        <v>9</v>
      </c>
    </row>
    <row r="73" spans="1:14" x14ac:dyDescent="0.35">
      <c r="A73" s="40"/>
      <c r="B73" s="6" t="s">
        <v>10</v>
      </c>
      <c r="C73" s="11">
        <v>0.3520875</v>
      </c>
      <c r="D73" s="12">
        <v>0.13688139999999999</v>
      </c>
      <c r="E73" s="13" t="s">
        <v>9</v>
      </c>
      <c r="F73" s="14" t="s">
        <v>9</v>
      </c>
      <c r="G73" s="15">
        <v>0.33938074000000001</v>
      </c>
      <c r="H73" s="12">
        <v>0.13730374000000001</v>
      </c>
      <c r="I73" s="15">
        <v>0.34810397999999998</v>
      </c>
      <c r="J73" s="12">
        <v>0.13648602000000001</v>
      </c>
      <c r="K73" s="15">
        <v>0.36774669999999998</v>
      </c>
      <c r="L73" s="12">
        <v>0.14012859999999999</v>
      </c>
      <c r="M73" s="15" t="str">
        <f>"--"</f>
        <v>--</v>
      </c>
      <c r="N73" s="16" t="str">
        <f>"--"</f>
        <v>--</v>
      </c>
    </row>
    <row r="74" spans="1:14" x14ac:dyDescent="0.35">
      <c r="A74" s="40"/>
      <c r="B74" s="6" t="s">
        <v>11</v>
      </c>
      <c r="C74" s="17" t="s">
        <v>9</v>
      </c>
      <c r="D74" s="14" t="s">
        <v>9</v>
      </c>
      <c r="E74" s="15">
        <v>0.42588029999999999</v>
      </c>
      <c r="F74" s="12">
        <v>0.21631049999999999</v>
      </c>
      <c r="G74" s="15">
        <v>2.3781259999999999E-2</v>
      </c>
      <c r="H74" s="12">
        <v>4.906481E-2</v>
      </c>
      <c r="I74" s="15">
        <v>2.0968339999999999E-2</v>
      </c>
      <c r="J74" s="12">
        <v>5.0673919999999997E-2</v>
      </c>
      <c r="K74" s="15">
        <v>0.6236585</v>
      </c>
      <c r="L74" s="12">
        <v>1.1219501000000001</v>
      </c>
      <c r="M74" s="15" t="str">
        <f>"--"</f>
        <v>--</v>
      </c>
      <c r="N74" s="16" t="str">
        <f>"--"</f>
        <v>--</v>
      </c>
    </row>
    <row r="75" spans="1:14" x14ac:dyDescent="0.35">
      <c r="A75" s="40"/>
      <c r="B75" s="6" t="s">
        <v>12</v>
      </c>
      <c r="C75" s="17" t="s">
        <v>9</v>
      </c>
      <c r="D75" s="14" t="s">
        <v>9</v>
      </c>
      <c r="E75" s="13" t="s">
        <v>9</v>
      </c>
      <c r="F75" s="14" t="s">
        <v>9</v>
      </c>
      <c r="G75" s="13" t="s">
        <v>9</v>
      </c>
      <c r="H75" s="14" t="s">
        <v>9</v>
      </c>
      <c r="I75" s="13" t="s">
        <v>9</v>
      </c>
      <c r="J75" s="14" t="s">
        <v>9</v>
      </c>
      <c r="K75" s="13" t="s">
        <v>9</v>
      </c>
      <c r="L75" s="14" t="s">
        <v>9</v>
      </c>
      <c r="M75" s="15">
        <v>0.36322019999999999</v>
      </c>
      <c r="N75" s="16">
        <v>0.13942570000000001</v>
      </c>
    </row>
    <row r="76" spans="1:14" x14ac:dyDescent="0.35">
      <c r="A76" s="40"/>
      <c r="B76" s="6" t="s">
        <v>13</v>
      </c>
      <c r="C76" s="11">
        <v>0.61732549999999997</v>
      </c>
      <c r="D76" s="12">
        <v>0.1114947</v>
      </c>
      <c r="E76" s="15">
        <v>0.64716220000000002</v>
      </c>
      <c r="F76" s="12">
        <v>0.13400599999999999</v>
      </c>
      <c r="G76" s="15">
        <v>0.60388609000000004</v>
      </c>
      <c r="H76" s="12">
        <v>0.11387124</v>
      </c>
      <c r="I76" s="15">
        <v>0.60336526000000001</v>
      </c>
      <c r="J76" s="12">
        <v>0.11495236</v>
      </c>
      <c r="K76" s="15">
        <v>0.57472109999999998</v>
      </c>
      <c r="L76" s="12">
        <v>0.13053139999999999</v>
      </c>
      <c r="M76" s="15">
        <v>0.60409579999999996</v>
      </c>
      <c r="N76" s="16">
        <v>0.11354019999999999</v>
      </c>
    </row>
    <row r="77" spans="1:14" x14ac:dyDescent="0.35">
      <c r="A77" s="41"/>
      <c r="B77" s="23" t="s">
        <v>14</v>
      </c>
      <c r="C77" s="24">
        <v>0.36319659999999998</v>
      </c>
      <c r="D77" s="25">
        <v>0.1236936</v>
      </c>
      <c r="E77" s="26" t="s">
        <v>9</v>
      </c>
      <c r="F77" s="27" t="s">
        <v>9</v>
      </c>
      <c r="G77" s="28">
        <v>0.35094500000000001</v>
      </c>
      <c r="H77" s="25">
        <v>0.12567929999999999</v>
      </c>
      <c r="I77" s="28">
        <v>0.35797050000000002</v>
      </c>
      <c r="J77" s="25">
        <v>0.1236599</v>
      </c>
      <c r="K77" s="28">
        <v>0.23481289999999999</v>
      </c>
      <c r="L77" s="25">
        <v>0.1668058</v>
      </c>
      <c r="M77" s="28" t="str">
        <f>"--"</f>
        <v>--</v>
      </c>
      <c r="N77" s="29" t="str">
        <f>"--"</f>
        <v>--</v>
      </c>
    </row>
    <row r="78" spans="1:14" x14ac:dyDescent="0.35">
      <c r="A78" s="39" t="s">
        <v>24</v>
      </c>
      <c r="B78" s="18" t="s">
        <v>8</v>
      </c>
      <c r="C78" s="19">
        <v>-110.15219999999999</v>
      </c>
      <c r="D78" s="20" t="s">
        <v>9</v>
      </c>
      <c r="E78" s="21">
        <v>-110.8373</v>
      </c>
      <c r="F78" s="20" t="s">
        <v>9</v>
      </c>
      <c r="G78" s="21">
        <v>-109.4337</v>
      </c>
      <c r="H78" s="20" t="s">
        <v>9</v>
      </c>
      <c r="I78" s="21">
        <v>-109.43940000000001</v>
      </c>
      <c r="J78" s="20" t="s">
        <v>9</v>
      </c>
      <c r="K78" s="21">
        <v>-108.9453</v>
      </c>
      <c r="L78" s="20" t="s">
        <v>9</v>
      </c>
      <c r="M78" s="21">
        <v>-109.4337</v>
      </c>
      <c r="N78" s="22" t="s">
        <v>9</v>
      </c>
    </row>
    <row r="79" spans="1:14" x14ac:dyDescent="0.35">
      <c r="A79" s="40"/>
      <c r="B79" s="6" t="s">
        <v>10</v>
      </c>
      <c r="C79" s="11">
        <v>0.1171686</v>
      </c>
      <c r="D79" s="12">
        <v>8.7374740000000006E-2</v>
      </c>
      <c r="E79" s="13" t="s">
        <v>9</v>
      </c>
      <c r="F79" s="14" t="s">
        <v>9</v>
      </c>
      <c r="G79" s="15">
        <v>0.10994783</v>
      </c>
      <c r="H79" s="12">
        <v>8.7769829999999993E-2</v>
      </c>
      <c r="I79" s="15">
        <v>0.11792457000000001</v>
      </c>
      <c r="J79" s="12">
        <v>8.7486499999999995E-2</v>
      </c>
      <c r="K79" s="15">
        <v>0.1363674</v>
      </c>
      <c r="L79" s="12">
        <v>9.1791020000000001E-2</v>
      </c>
      <c r="M79" s="15" t="str">
        <f>"--"</f>
        <v>--</v>
      </c>
      <c r="N79" s="16" t="str">
        <f>"--"</f>
        <v>--</v>
      </c>
    </row>
    <row r="80" spans="1:14" x14ac:dyDescent="0.35">
      <c r="A80" s="40"/>
      <c r="B80" s="6" t="s">
        <v>11</v>
      </c>
      <c r="C80" s="17" t="s">
        <v>9</v>
      </c>
      <c r="D80" s="14" t="s">
        <v>9</v>
      </c>
      <c r="E80" s="15">
        <v>6.0971930000000001E-2</v>
      </c>
      <c r="F80" s="12">
        <v>6.2497339999999998E-2</v>
      </c>
      <c r="G80" s="15">
        <v>4.270065E-2</v>
      </c>
      <c r="H80" s="12">
        <v>5.0747199999999999E-2</v>
      </c>
      <c r="I80" s="15">
        <v>4.9405310000000001E-2</v>
      </c>
      <c r="J80" s="12">
        <v>5.915898E-2</v>
      </c>
      <c r="K80" s="15">
        <v>0.60878080000000001</v>
      </c>
      <c r="L80" s="12">
        <v>0.62170404999999995</v>
      </c>
      <c r="M80" s="15" t="str">
        <f>"--"</f>
        <v>--</v>
      </c>
      <c r="N80" s="16" t="str">
        <f>"--"</f>
        <v>--</v>
      </c>
    </row>
    <row r="81" spans="1:14" x14ac:dyDescent="0.35">
      <c r="A81" s="40"/>
      <c r="B81" s="6" t="s">
        <v>12</v>
      </c>
      <c r="C81" s="17" t="s">
        <v>9</v>
      </c>
      <c r="D81" s="14" t="s">
        <v>9</v>
      </c>
      <c r="E81" s="13" t="s">
        <v>9</v>
      </c>
      <c r="F81" s="14" t="s">
        <v>9</v>
      </c>
      <c r="G81" s="13" t="s">
        <v>9</v>
      </c>
      <c r="H81" s="14" t="s">
        <v>9</v>
      </c>
      <c r="I81" s="13" t="s">
        <v>9</v>
      </c>
      <c r="J81" s="14" t="s">
        <v>9</v>
      </c>
      <c r="K81" s="13" t="s">
        <v>9</v>
      </c>
      <c r="L81" s="14" t="s">
        <v>9</v>
      </c>
      <c r="M81" s="15">
        <v>0.15256149999999999</v>
      </c>
      <c r="N81" s="16">
        <v>9.6847420000000004E-2</v>
      </c>
    </row>
    <row r="82" spans="1:14" x14ac:dyDescent="0.35">
      <c r="A82" s="40"/>
      <c r="B82" s="6" t="s">
        <v>13</v>
      </c>
      <c r="C82" s="11">
        <v>0.70011279999999998</v>
      </c>
      <c r="D82" s="12">
        <v>9.5486760000000004E-2</v>
      </c>
      <c r="E82" s="15">
        <v>0.75505694000000001</v>
      </c>
      <c r="F82" s="12">
        <v>8.2934869999999994E-2</v>
      </c>
      <c r="G82" s="15">
        <v>0.66450165999999999</v>
      </c>
      <c r="H82" s="12">
        <v>9.8878300000000002E-2</v>
      </c>
      <c r="I82" s="15">
        <v>0.6584622</v>
      </c>
      <c r="J82" s="12">
        <v>0.10051092</v>
      </c>
      <c r="K82" s="15">
        <v>0.6254807</v>
      </c>
      <c r="L82" s="12">
        <v>0.11036189</v>
      </c>
      <c r="M82" s="15">
        <v>0.66426070000000004</v>
      </c>
      <c r="N82" s="16">
        <v>9.8352729999999999E-2</v>
      </c>
    </row>
    <row r="83" spans="1:14" x14ac:dyDescent="0.35">
      <c r="A83" s="41"/>
      <c r="B83" s="23" t="s">
        <v>14</v>
      </c>
      <c r="C83" s="24">
        <v>0.14336380000000001</v>
      </c>
      <c r="D83" s="25">
        <v>0.10352219999999999</v>
      </c>
      <c r="E83" s="26" t="s">
        <v>9</v>
      </c>
      <c r="F83" s="27" t="s">
        <v>9</v>
      </c>
      <c r="G83" s="28">
        <v>0.13455030000000001</v>
      </c>
      <c r="H83" s="25">
        <v>0.1044395</v>
      </c>
      <c r="I83" s="28">
        <v>0.14280180000000001</v>
      </c>
      <c r="J83" s="25">
        <v>0.10267370000000001</v>
      </c>
      <c r="K83" s="28">
        <v>9.9492579999999997E-2</v>
      </c>
      <c r="L83" s="25">
        <v>7.1391739999999995E-2</v>
      </c>
      <c r="M83" s="28" t="str">
        <f>"--"</f>
        <v>--</v>
      </c>
      <c r="N83" s="29" t="str">
        <f>"--"</f>
        <v>--</v>
      </c>
    </row>
    <row r="84" spans="1:14" x14ac:dyDescent="0.35">
      <c r="A84" s="39" t="s">
        <v>25</v>
      </c>
      <c r="B84" s="18" t="s">
        <v>8</v>
      </c>
      <c r="C84" s="19">
        <v>-93.54101</v>
      </c>
      <c r="D84" s="20" t="s">
        <v>9</v>
      </c>
      <c r="E84" s="21">
        <v>-102.1371</v>
      </c>
      <c r="F84" s="20" t="s">
        <v>9</v>
      </c>
      <c r="G84" s="21">
        <v>-93.390529999999998</v>
      </c>
      <c r="H84" s="20" t="s">
        <v>9</v>
      </c>
      <c r="I84" s="21">
        <v>-93.260649999999998</v>
      </c>
      <c r="J84" s="20" t="s">
        <v>9</v>
      </c>
      <c r="K84" s="21">
        <v>-92.81429</v>
      </c>
      <c r="L84" s="20" t="s">
        <v>9</v>
      </c>
      <c r="M84" s="21">
        <v>-93.390460000000004</v>
      </c>
      <c r="N84" s="22" t="s">
        <v>9</v>
      </c>
    </row>
    <row r="85" spans="1:14" x14ac:dyDescent="0.35">
      <c r="A85" s="40"/>
      <c r="B85" s="6" t="s">
        <v>10</v>
      </c>
      <c r="C85" s="11">
        <v>0.39591589999999999</v>
      </c>
      <c r="D85" s="12">
        <v>0.13482420000000001</v>
      </c>
      <c r="E85" s="13" t="s">
        <v>9</v>
      </c>
      <c r="F85" s="14" t="s">
        <v>9</v>
      </c>
      <c r="G85" s="15">
        <v>0.40512238</v>
      </c>
      <c r="H85" s="12">
        <v>0.13567265000000001</v>
      </c>
      <c r="I85" s="15">
        <v>0.40866441999999997</v>
      </c>
      <c r="J85" s="12">
        <v>0.13670889999999999</v>
      </c>
      <c r="K85" s="15">
        <v>0.41601579999999999</v>
      </c>
      <c r="L85" s="12">
        <v>0.1375432</v>
      </c>
      <c r="M85" s="15" t="str">
        <f>"--"</f>
        <v>--</v>
      </c>
      <c r="N85" s="16" t="str">
        <f>"--"</f>
        <v>--</v>
      </c>
    </row>
    <row r="86" spans="1:14" x14ac:dyDescent="0.35">
      <c r="A86" s="40"/>
      <c r="B86" s="6" t="s">
        <v>11</v>
      </c>
      <c r="C86" s="17" t="s">
        <v>9</v>
      </c>
      <c r="D86" s="14" t="s">
        <v>9</v>
      </c>
      <c r="E86" s="15">
        <v>8.4694709999999995E-4</v>
      </c>
      <c r="F86" s="12">
        <v>2.5665339999999998E-2</v>
      </c>
      <c r="G86" s="15">
        <v>1.074279E-2</v>
      </c>
      <c r="H86" s="12">
        <v>2.5801129999999999E-2</v>
      </c>
      <c r="I86" s="15">
        <v>1.9633359999999999E-2</v>
      </c>
      <c r="J86" s="12">
        <v>3.6895860000000003E-2</v>
      </c>
      <c r="K86" s="15">
        <v>2.5189210000000002</v>
      </c>
      <c r="L86" s="12">
        <v>3.3219699999999999</v>
      </c>
      <c r="M86" s="15" t="str">
        <f>"--"</f>
        <v>--</v>
      </c>
      <c r="N86" s="16" t="str">
        <f>"--"</f>
        <v>--</v>
      </c>
    </row>
    <row r="87" spans="1:14" x14ac:dyDescent="0.35">
      <c r="A87" s="40"/>
      <c r="B87" s="6" t="s">
        <v>12</v>
      </c>
      <c r="C87" s="17" t="s">
        <v>9</v>
      </c>
      <c r="D87" s="14" t="s">
        <v>9</v>
      </c>
      <c r="E87" s="13" t="s">
        <v>9</v>
      </c>
      <c r="F87" s="14" t="s">
        <v>9</v>
      </c>
      <c r="G87" s="13" t="s">
        <v>9</v>
      </c>
      <c r="H87" s="14" t="s">
        <v>9</v>
      </c>
      <c r="I87" s="13" t="s">
        <v>9</v>
      </c>
      <c r="J87" s="14" t="s">
        <v>9</v>
      </c>
      <c r="K87" s="13" t="s">
        <v>9</v>
      </c>
      <c r="L87" s="14" t="s">
        <v>9</v>
      </c>
      <c r="M87" s="15">
        <v>0.41485549999999999</v>
      </c>
      <c r="N87" s="16">
        <v>0.13922367999999999</v>
      </c>
    </row>
    <row r="88" spans="1:14" x14ac:dyDescent="0.35">
      <c r="A88" s="40"/>
      <c r="B88" s="6" t="s">
        <v>13</v>
      </c>
      <c r="C88" s="11">
        <v>0.4137113</v>
      </c>
      <c r="D88" s="12">
        <v>9.7040340000000003E-2</v>
      </c>
      <c r="E88" s="15">
        <v>0.77608524889999997</v>
      </c>
      <c r="F88" s="12">
        <v>7.5817280000000001E-2</v>
      </c>
      <c r="G88" s="15">
        <v>0.39737909999999999</v>
      </c>
      <c r="H88" s="12">
        <v>9.9617890000000001E-2</v>
      </c>
      <c r="I88" s="15">
        <v>0.38895946999999997</v>
      </c>
      <c r="J88" s="12">
        <v>0.10030310000000001</v>
      </c>
      <c r="K88" s="15">
        <v>0.3332272</v>
      </c>
      <c r="L88" s="12">
        <v>0.12734999999999999</v>
      </c>
      <c r="M88" s="15">
        <v>0.39618819999999999</v>
      </c>
      <c r="N88" s="16">
        <v>9.8821580000000006E-2</v>
      </c>
    </row>
    <row r="89" spans="1:14" ht="15" thickBot="1" x14ac:dyDescent="0.4">
      <c r="A89" s="42"/>
      <c r="B89" s="30" t="s">
        <v>14</v>
      </c>
      <c r="C89" s="31">
        <v>0.48901020000000001</v>
      </c>
      <c r="D89" s="32">
        <v>0.13590250000000001</v>
      </c>
      <c r="E89" s="33" t="s">
        <v>9</v>
      </c>
      <c r="F89" s="34" t="s">
        <v>9</v>
      </c>
      <c r="G89" s="35">
        <v>0.49815579999999998</v>
      </c>
      <c r="H89" s="32">
        <v>0.1352845</v>
      </c>
      <c r="I89" s="35">
        <v>0.50004380000000004</v>
      </c>
      <c r="J89" s="32">
        <v>0.1349774</v>
      </c>
      <c r="K89" s="35">
        <v>0.1272934</v>
      </c>
      <c r="L89" s="32">
        <v>0.12915189999999999</v>
      </c>
      <c r="M89" s="35" t="str">
        <f>"--"</f>
        <v>--</v>
      </c>
      <c r="N89" s="36" t="str">
        <f>"--"</f>
        <v>--</v>
      </c>
    </row>
  </sheetData>
  <mergeCells count="14">
    <mergeCell ref="A36:A41"/>
    <mergeCell ref="A6:A11"/>
    <mergeCell ref="A12:A17"/>
    <mergeCell ref="A18:A23"/>
    <mergeCell ref="A24:A29"/>
    <mergeCell ref="A30:A35"/>
    <mergeCell ref="A78:A83"/>
    <mergeCell ref="A84:A89"/>
    <mergeCell ref="A42:A47"/>
    <mergeCell ref="A48:A53"/>
    <mergeCell ref="A54:A59"/>
    <mergeCell ref="A60:A65"/>
    <mergeCell ref="A66:A71"/>
    <mergeCell ref="A72:A7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e5fdb143a6f0176ac5c0c5c851644a5c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1b4c0390fba2867f6f28cf4dedd19f77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6D4B8-A28D-4100-BF23-CFB4F5CA18AB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cafca0d2-325c-411e-be54-222c501e1714"/>
    <ds:schemaRef ds:uri="e02e773a-4166-40a4-9dfb-e21023bac1a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7B68DFC-83C0-40C8-9D31-E73FA7F278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8FE509-9232-412B-97A3-CF0477D2D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e773a-4166-40a4-9dfb-e21023bac1a4"/>
    <ds:schemaRef ds:uri="cafca0d2-325c-411e-be54-222c501e1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Jove, Teodor</dc:creator>
  <cp:lastModifiedBy>Jove, Teodor</cp:lastModifiedBy>
  <cp:lastPrinted>2025-06-23T10:51:35Z</cp:lastPrinted>
  <dcterms:created xsi:type="dcterms:W3CDTF">2025-06-23T10:51:29Z</dcterms:created>
  <dcterms:modified xsi:type="dcterms:W3CDTF">2025-11-20T14:03:55Z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